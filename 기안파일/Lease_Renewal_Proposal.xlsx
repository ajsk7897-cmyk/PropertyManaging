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\OneDrive\Desktop\바이브 코딩\project 0. 부동산 자산관리 앱\기안파일\"/>
    </mc:Choice>
  </mc:AlternateContent>
  <xr:revisionPtr revIDLastSave="0" documentId="13_ncr:1_{E9C77D88-3F35-4148-A20E-D3BDB2829815}" xr6:coauthVersionLast="47" xr6:coauthVersionMax="47" xr10:uidLastSave="{00000000-0000-0000-0000-000000000000}"/>
  <bookViews>
    <workbookView xWindow="19090" yWindow="-110" windowWidth="19420" windowHeight="11500" xr2:uid="{00000000-000D-0000-FFFF-FFFF00000000}"/>
  </bookViews>
  <sheets>
    <sheet name="임대갱신품의서" sheetId="1" r:id="rId1"/>
    <sheet name="비교표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" i="1" l="1"/>
</calcChain>
</file>

<file path=xl/sharedStrings.xml><?xml version="1.0" encoding="utf-8"?>
<sst xmlns="http://schemas.openxmlformats.org/spreadsheetml/2006/main" count="171" uniqueCount="156">
  <si>
    <t>C&amp;W Approval</t>
  </si>
  <si>
    <t>SCBK CRES Approval</t>
  </si>
  <si>
    <t>Asst. Analyst</t>
  </si>
  <si>
    <t>Manager</t>
  </si>
  <si>
    <t>AM Lead</t>
  </si>
  <si>
    <t>CHOP</t>
  </si>
  <si>
    <t>Lease Renewal Proposal 임대갱신품의서</t>
  </si>
  <si>
    <t>Address of the Premises
주소</t>
  </si>
  <si>
    <t>서울특별시 종로구 종로47 15층</t>
  </si>
  <si>
    <t>GPMS ID (Property Reference)</t>
  </si>
  <si>
    <t>KFBP00001</t>
  </si>
  <si>
    <t>Name of Tenant
임차인명</t>
  </si>
  <si>
    <t>서울보증보험 강북지점
Seoul Guarantee Insurance Gangbuk Branch</t>
  </si>
  <si>
    <t>Usage of premises (A, BR, BR/O, O etc)
부동산 사용 목적</t>
  </si>
  <si>
    <t>SUB</t>
  </si>
  <si>
    <t>Name of Real Estate Agent
대리인명</t>
  </si>
  <si>
    <t>Cushman &amp; Wakefield Korea</t>
  </si>
  <si>
    <t>Demise (1st, 2nd, G etc..)
임대층</t>
  </si>
  <si>
    <t>15F</t>
  </si>
  <si>
    <t>▲ Current Lease Details 기존 임대 조건</t>
  </si>
  <si>
    <t>Gross Area in py
총임대면적 (py)</t>
  </si>
  <si>
    <t>111.61</t>
  </si>
  <si>
    <t>Net Area in py
전용면적 (py)</t>
  </si>
  <si>
    <t>65.24</t>
  </si>
  <si>
    <t>368.96</t>
  </si>
  <si>
    <t>215.67</t>
  </si>
  <si>
    <t>Gross Area in sqft</t>
  </si>
  <si>
    <t>3,971.45</t>
  </si>
  <si>
    <t>Net Area in sqft</t>
  </si>
  <si>
    <t>2,321.45</t>
  </si>
  <si>
    <t>Rent being received (per month)
임대료 (월)</t>
  </si>
  <si>
    <t>11,529,000</t>
  </si>
  <si>
    <t>Service/Maintenance per Month
고정 관리비 (월)</t>
  </si>
  <si>
    <t>6,563,800</t>
  </si>
  <si>
    <t>Refundable Deposit
반환 가능한 보증금</t>
  </si>
  <si>
    <t>100,449,000</t>
  </si>
  <si>
    <t>Lease Expiry Date 임대만료일</t>
  </si>
  <si>
    <t>31-Mar-26</t>
  </si>
  <si>
    <t>▲ Renewal Proposal 갱신 조건</t>
  </si>
  <si>
    <t>Proposed period of renewal (in months)
갱신 임대 기간 (월)</t>
  </si>
  <si>
    <t>15</t>
  </si>
  <si>
    <t>New Service/Maintenance Agreed (per month)</t>
  </si>
  <si>
    <t>6,621,710</t>
  </si>
  <si>
    <t>New Rent Agreed (per month)
갱신 임대료 (월)</t>
  </si>
  <si>
    <t>12,835,150</t>
  </si>
  <si>
    <t>Income of Deposit in-Country(% annum)
국내 보증금 수익율 (연 %)</t>
  </si>
  <si>
    <t>3%</t>
  </si>
  <si>
    <t>Lease End Date
임대만료일</t>
  </si>
  <si>
    <t>30-Jun-27</t>
  </si>
  <si>
    <t>Lease Start Date
임대시작일</t>
  </si>
  <si>
    <t>Budgeted income per month
월 예산 수입 (월 보증금 수익+임대료+관리비)</t>
  </si>
  <si>
    <t>19,707,983</t>
  </si>
  <si>
    <t>▲ Salient Features 주요 특징</t>
  </si>
  <si>
    <t>Annual income of last lease
기존 연 수익(연 보증금 수익+임대료+관리비)</t>
  </si>
  <si>
    <t>Annual income of current lease
갱신 후 연 수익(연 보증금 수익+임대료+관리비)</t>
  </si>
  <si>
    <t>236,495,790</t>
  </si>
  <si>
    <t>Increase per annum against the last lease
갱신 전후 증감분(연 보증금 수익+임대료+관리비)</t>
  </si>
  <si>
    <t>7.44%</t>
  </si>
  <si>
    <t>Committed income on this renewal (Includes income on Deposit)
중도해지 전까지의 확정적 수입(연 보증금 수익+임대료+관리비)</t>
  </si>
  <si>
    <t>118,247,895</t>
  </si>
  <si>
    <t>▲ 비교 사례</t>
  </si>
  <si>
    <t>해당 층</t>
  </si>
  <si>
    <t>본 갱신
15F</t>
  </si>
  <si>
    <t>본 갱신 - [1~3 평균]</t>
  </si>
  <si>
    <t>평당 보증금</t>
  </si>
  <si>
    <t>900,000</t>
  </si>
  <si>
    <t>(169,464)</t>
  </si>
  <si>
    <t>월평당 임대료</t>
  </si>
  <si>
    <t>115,000</t>
  </si>
  <si>
    <t>(3,461)</t>
  </si>
  <si>
    <t>월평당 관리비</t>
  </si>
  <si>
    <t>59,329</t>
  </si>
  <si>
    <t>6,160</t>
  </si>
  <si>
    <t>건물 월평당 관리비</t>
  </si>
  <si>
    <t>54,500</t>
  </si>
  <si>
    <t>본 갱신 월평당 관리비 - 건물 월평당 관리비</t>
  </si>
  <si>
    <t>4,829</t>
  </si>
  <si>
    <t>평당 전세가@12%</t>
  </si>
  <si>
    <t>12,400,000</t>
  </si>
  <si>
    <t>11,331,000</t>
  </si>
  <si>
    <t>12,895,594</t>
  </si>
  <si>
    <t>14,519,999</t>
  </si>
  <si>
    <t>(515,531)</t>
  </si>
  <si>
    <t>▲ Business Reason for the Renewal 본 갱신 및 조건의 합당한 근거</t>
  </si>
  <si>
    <t>본점 서울보증보험 강북지점 임대차 갱신 건
1. 협의 History
1) 협의 이슈사항
 - 본 계약 테넌트는  동층 종로지점과 함께 26년 8월까지 단기 연장 후 오피스 이전할 예정이었음
 - 이후 협상 과정에서 지점장 교체 후, 강북지점에 한해 계약을 15개월 연장으로 변경 요청 수용
 - 관련하여 임대료 동일 조건, 관리비 연간 3% 추가 인상 제안 및 합의하여 진행
2) 임대차 조건
 - 테넌트 재계약 의사 확인에 따라 보증금 100,449,000원 / 임대료 12,835,150원(11% 인상) / 관리비 6,621,710원(3% 인상) 제안
 - 테넌트 이견 없이 수용하여 계약서 진행
  -&gt; 보증금 : 동결
  -&gt; 임대료 : 12,835,150원 (11% 인상)
  -&gt; 관리비 : 6,621,710원 (매년 3% 인상)
  -&gt; Rent-Free : 미제공
  -&gt; 계약기간 : 2026.04.01~2027.06.30
2. 결론
 - 기존 단기계약을 명분으로 11%의 높은 인상률을 적용한 합의를 장기화 한 부분으로, 합리적인 계약으로 판단됨</t>
  </si>
  <si>
    <t>임대 계약조건 비교 및 정리표</t>
  </si>
  <si>
    <t>구분</t>
  </si>
  <si>
    <t>변경전(종료시점)</t>
  </si>
  <si>
    <t>갱신(변경시점)</t>
  </si>
  <si>
    <t>비고</t>
  </si>
  <si>
    <t>면적(전용,sf)</t>
  </si>
  <si>
    <t>좌동</t>
  </si>
  <si>
    <t>면적(임대,sf)</t>
  </si>
  <si>
    <t>임차인</t>
  </si>
  <si>
    <t>서울보증보험 강북지점</t>
  </si>
  <si>
    <t>보증금</t>
  </si>
  <si>
    <t>₩100,449,000</t>
  </si>
  <si>
    <t>동결</t>
  </si>
  <si>
    <t>월임대료</t>
  </si>
  <si>
    <t>₩11,529,000</t>
  </si>
  <si>
    <t>₩12,835,150</t>
  </si>
  <si>
    <t>11% 인상</t>
  </si>
  <si>
    <t>월관리비</t>
  </si>
  <si>
    <t>₩6,563,800</t>
  </si>
  <si>
    <t>₩6,621,710</t>
  </si>
  <si>
    <t>매년 3% 인상
→ 2026.04.01~2027.03.31 : 6,621,710원
→ 2027.04.01~2027.06.30 : 6,820,360원
* 26년의 경우 CPI 확정 전 협의로, 25년 관리비 기준 3% 인상 적용</t>
  </si>
  <si>
    <t>임대차기간</t>
  </si>
  <si>
    <t>2025.04.01~2026.03.31</t>
  </si>
  <si>
    <t>2026.04.01~2027.06.30</t>
  </si>
  <si>
    <t>계약개시일로부터 1년 3개월</t>
  </si>
  <si>
    <t>연간 income &amp; 임대기간 내 총 income</t>
  </si>
  <si>
    <t>항목</t>
  </si>
  <si>
    <t>1년</t>
  </si>
  <si>
    <t>2년</t>
  </si>
  <si>
    <t>총수입</t>
  </si>
  <si>
    <t>₩ 100,449,000</t>
  </si>
  <si>
    <t>연간임대료 (A)</t>
  </si>
  <si>
    <t>₩ 154,021,800</t>
  </si>
  <si>
    <t>₩ 8,139,120</t>
  </si>
  <si>
    <t>₩ 162,160,920</t>
  </si>
  <si>
    <t>연간관리비 (B)</t>
  </si>
  <si>
    <t>₩ 79,460,520</t>
  </si>
  <si>
    <t>₩ 40,326,210</t>
  </si>
  <si>
    <t>₩ 119,786,730</t>
  </si>
  <si>
    <t>보증금 funding cost (C)</t>
  </si>
  <si>
    <t>₩ 3,013,470</t>
  </si>
  <si>
    <t>₩ 6,026,940</t>
  </si>
  <si>
    <t>연간 수입 (A+B+C)</t>
  </si>
  <si>
    <t>₩ 236,495,790</t>
  </si>
  <si>
    <t>₩ 51,478,800</t>
  </si>
  <si>
    <t>₩ 287,974,590</t>
  </si>
  <si>
    <t>연간 수입(USD)</t>
  </si>
  <si>
    <t>98,816</t>
  </si>
  <si>
    <t>전체 수입(USD)</t>
  </si>
  <si>
    <t>197,632</t>
  </si>
  <si>
    <t>RPM Threshold</t>
  </si>
  <si>
    <t>Annual Income</t>
  </si>
  <si>
    <t>Income during lease term</t>
  </si>
  <si>
    <t>Area</t>
  </si>
  <si>
    <t>New</t>
  </si>
  <si>
    <t>Termination</t>
  </si>
  <si>
    <t>RPF</t>
  </si>
  <si>
    <t>USD 700K over</t>
  </si>
  <si>
    <t>USD 2.0M over</t>
  </si>
  <si>
    <t>15,000 sqft over</t>
  </si>
  <si>
    <t>All</t>
  </si>
  <si>
    <t>USD 150K over</t>
  </si>
  <si>
    <t>RPM</t>
  </si>
  <si>
    <t>Under USD 700K</t>
  </si>
  <si>
    <t>Under USD 2.0M</t>
  </si>
  <si>
    <t>Under 15,000 sqft</t>
  </si>
  <si>
    <t>N/A</t>
  </si>
  <si>
    <t>Under USD 150K</t>
  </si>
  <si>
    <t>※ 해당 재계약은 RPM 승인 대상 건 입니다.</t>
  </si>
  <si>
    <r>
      <t xml:space="preserve">Gross Area in </t>
    </r>
    <r>
      <rPr>
        <sz val="8"/>
        <rFont val="맑은 고딕"/>
        <family val="3"/>
        <charset val="129"/>
      </rPr>
      <t>㎡</t>
    </r>
    <phoneticPr fontId="5" type="noConversion"/>
  </si>
  <si>
    <t>Net Area in ㎡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</si>
</sst>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>
    <font>
      <sz val="11"/>
      <color theme="1"/>
      <name val="맑은 고딕"/>
      <family val="2"/>
      <scheme val="minor"/>
    </font>
    <font>
      <b/>
      <sz val="9"/>
      <name val="Malgun Gothic"/>
      <family val="3"/>
      <charset val="129"/>
    </font>
    <font>
      <sz val="8"/>
      <name val="Malgun Gothic"/>
      <family val="3"/>
      <charset val="129"/>
    </font>
    <font>
      <b/>
      <sz val="14"/>
      <name val="Malgun Gothic"/>
      <family val="3"/>
      <charset val="129"/>
    </font>
    <font>
      <b/>
      <sz val="1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D0D0D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7" fillId="0" borderId="0" applyFont="0" applyFill="0" applyBorder="0" applyAlignment="0" applyProtection="0">
      <alignment vertical="center"/>
    </xf>
  </cellStyleXfs>
  <cellXfs count="21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/>
    <xf numFmtId="15" fontId="2" fillId="0" borderId="1" xfId="0" applyNumberFormat="1" applyFont="1" applyBorder="1" applyAlignment="1">
      <alignment horizontal="right" vertical="center" wrapText="1"/>
    </xf>
    <xf numFmtId="3" fontId="2" fillId="0" borderId="1" xfId="0" applyNumberFormat="1" applyFont="1" applyBorder="1" applyAlignment="1">
      <alignment horizontal="right" vertical="center" wrapText="1"/>
    </xf>
    <xf numFmtId="41" fontId="0" fillId="0" borderId="0" xfId="1" applyFont="1" applyAlignment="1"/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showGridLines="0" tabSelected="1" topLeftCell="A22" workbookViewId="0">
      <selection activeCell="G27" sqref="G27:L27"/>
    </sheetView>
  </sheetViews>
  <sheetFormatPr defaultRowHeight="17"/>
  <cols>
    <col min="1" max="8" width="9.5" customWidth="1"/>
    <col min="9" max="9" width="14.9140625" customWidth="1"/>
    <col min="10" max="10" width="12.25" customWidth="1"/>
    <col min="11" max="12" width="9.5" customWidth="1"/>
    <col min="13" max="13" width="12.33203125" bestFit="1" customWidth="1"/>
  </cols>
  <sheetData>
    <row r="1" spans="1:12" ht="18" customHeight="1">
      <c r="B1" s="1" t="s">
        <v>0</v>
      </c>
      <c r="C1" s="1"/>
      <c r="D1" s="1"/>
      <c r="E1" s="1"/>
      <c r="F1" s="1"/>
      <c r="G1" s="1"/>
      <c r="H1" s="1" t="s">
        <v>1</v>
      </c>
      <c r="I1" s="1"/>
      <c r="J1" s="1"/>
    </row>
    <row r="2" spans="1:12" ht="18" customHeight="1">
      <c r="B2" s="2" t="s">
        <v>2</v>
      </c>
      <c r="C2" s="2"/>
      <c r="D2" s="2" t="s">
        <v>3</v>
      </c>
      <c r="E2" s="2"/>
      <c r="F2" s="2" t="s">
        <v>4</v>
      </c>
      <c r="G2" s="2"/>
      <c r="H2" s="2" t="s">
        <v>5</v>
      </c>
      <c r="I2" s="2"/>
      <c r="J2" s="2"/>
    </row>
    <row r="3" spans="1:12" ht="18" customHeight="1">
      <c r="B3" s="4"/>
      <c r="C3" s="4"/>
      <c r="D3" s="3"/>
      <c r="E3" s="3"/>
      <c r="F3" s="3"/>
      <c r="G3" s="3"/>
      <c r="H3" s="3"/>
      <c r="I3" s="3"/>
      <c r="J3" s="3"/>
    </row>
    <row r="4" spans="1:12" ht="18" customHeight="1"/>
    <row r="5" spans="1:12" ht="18" customHeight="1">
      <c r="A5" s="14" t="s">
        <v>6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</row>
    <row r="6" spans="1:12" ht="28" customHeight="1">
      <c r="A6" s="11" t="s">
        <v>7</v>
      </c>
      <c r="B6" s="11"/>
      <c r="C6" s="11"/>
      <c r="D6" s="7" t="s">
        <v>8</v>
      </c>
      <c r="E6" s="7"/>
      <c r="F6" s="7"/>
      <c r="G6" s="7"/>
      <c r="H6" s="11" t="s">
        <v>9</v>
      </c>
      <c r="I6" s="11"/>
      <c r="J6" s="11"/>
      <c r="K6" s="13" t="s">
        <v>10</v>
      </c>
      <c r="L6" s="13"/>
    </row>
    <row r="7" spans="1:12" ht="29" customHeight="1">
      <c r="A7" s="11" t="s">
        <v>11</v>
      </c>
      <c r="B7" s="11"/>
      <c r="C7" s="11"/>
      <c r="D7" s="7" t="s">
        <v>12</v>
      </c>
      <c r="E7" s="7"/>
      <c r="F7" s="7"/>
      <c r="G7" s="7"/>
      <c r="H7" s="11" t="s">
        <v>13</v>
      </c>
      <c r="I7" s="11"/>
      <c r="J7" s="11"/>
      <c r="K7" s="7" t="s">
        <v>14</v>
      </c>
      <c r="L7" s="7"/>
    </row>
    <row r="8" spans="1:12" ht="30.5" customHeight="1">
      <c r="A8" s="11" t="s">
        <v>15</v>
      </c>
      <c r="B8" s="11"/>
      <c r="C8" s="11"/>
      <c r="D8" s="7" t="s">
        <v>16</v>
      </c>
      <c r="E8" s="7"/>
      <c r="F8" s="7"/>
      <c r="G8" s="7"/>
      <c r="H8" s="11" t="s">
        <v>17</v>
      </c>
      <c r="I8" s="11"/>
      <c r="J8" s="11"/>
      <c r="K8" s="7" t="s">
        <v>18</v>
      </c>
      <c r="L8" s="7"/>
    </row>
    <row r="9" spans="1:12" ht="18" customHeight="1"/>
    <row r="10" spans="1:12" ht="18" customHeight="1">
      <c r="A10" s="10" t="s">
        <v>19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25" customHeight="1">
      <c r="A11" s="5" t="s">
        <v>20</v>
      </c>
      <c r="B11" s="5"/>
      <c r="C11" s="5"/>
      <c r="D11" s="6" t="s">
        <v>21</v>
      </c>
      <c r="E11" s="6"/>
      <c r="F11" s="6"/>
      <c r="G11" s="5" t="s">
        <v>22</v>
      </c>
      <c r="H11" s="5"/>
      <c r="I11" s="5"/>
      <c r="J11" s="6" t="s">
        <v>23</v>
      </c>
      <c r="K11" s="6"/>
      <c r="L11" s="6"/>
    </row>
    <row r="12" spans="1:12" ht="18" customHeight="1">
      <c r="A12" s="5" t="s">
        <v>154</v>
      </c>
      <c r="B12" s="5"/>
      <c r="C12" s="5"/>
      <c r="D12" s="6" t="s">
        <v>24</v>
      </c>
      <c r="E12" s="6"/>
      <c r="F12" s="6"/>
      <c r="G12" s="5" t="s">
        <v>155</v>
      </c>
      <c r="H12" s="5"/>
      <c r="I12" s="5"/>
      <c r="J12" s="6" t="s">
        <v>25</v>
      </c>
      <c r="K12" s="6"/>
      <c r="L12" s="6"/>
    </row>
    <row r="13" spans="1:12" ht="18" customHeight="1">
      <c r="A13" s="5" t="s">
        <v>26</v>
      </c>
      <c r="B13" s="5"/>
      <c r="C13" s="5"/>
      <c r="D13" s="6" t="s">
        <v>27</v>
      </c>
      <c r="E13" s="6"/>
      <c r="F13" s="6"/>
      <c r="G13" s="5" t="s">
        <v>28</v>
      </c>
      <c r="H13" s="5"/>
      <c r="I13" s="5"/>
      <c r="J13" s="6" t="s">
        <v>29</v>
      </c>
      <c r="K13" s="6"/>
      <c r="L13" s="6"/>
    </row>
    <row r="14" spans="1:12" ht="28" customHeight="1">
      <c r="A14" s="5" t="s">
        <v>30</v>
      </c>
      <c r="B14" s="5"/>
      <c r="C14" s="5"/>
      <c r="D14" s="6" t="s">
        <v>31</v>
      </c>
      <c r="E14" s="6"/>
      <c r="F14" s="6"/>
      <c r="G14" s="5" t="s">
        <v>32</v>
      </c>
      <c r="H14" s="5"/>
      <c r="I14" s="5"/>
      <c r="J14" s="6" t="s">
        <v>33</v>
      </c>
      <c r="K14" s="6"/>
      <c r="L14" s="6"/>
    </row>
    <row r="15" spans="1:12" ht="29" customHeight="1">
      <c r="A15" s="5" t="s">
        <v>34</v>
      </c>
      <c r="B15" s="5"/>
      <c r="C15" s="5"/>
      <c r="D15" s="6" t="s">
        <v>35</v>
      </c>
      <c r="E15" s="6"/>
      <c r="F15" s="6"/>
      <c r="G15" s="5" t="s">
        <v>36</v>
      </c>
      <c r="H15" s="5"/>
      <c r="I15" s="5"/>
      <c r="J15" s="6" t="s">
        <v>37</v>
      </c>
      <c r="K15" s="6"/>
      <c r="L15" s="6"/>
    </row>
    <row r="16" spans="1:12" ht="18" customHeight="1"/>
    <row r="17" spans="1:13" ht="18" customHeight="1">
      <c r="A17" s="10" t="s">
        <v>38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3" ht="26.5" customHeight="1">
      <c r="A18" s="5" t="s">
        <v>39</v>
      </c>
      <c r="B18" s="5"/>
      <c r="C18" s="5"/>
      <c r="D18" s="6" t="s">
        <v>40</v>
      </c>
      <c r="E18" s="6"/>
      <c r="F18" s="6"/>
      <c r="G18" s="5" t="s">
        <v>22</v>
      </c>
      <c r="H18" s="5"/>
      <c r="I18" s="5"/>
      <c r="J18" s="6" t="s">
        <v>23</v>
      </c>
      <c r="K18" s="6"/>
      <c r="L18" s="6"/>
    </row>
    <row r="19" spans="1:13" ht="29" customHeight="1">
      <c r="A19" s="5" t="s">
        <v>20</v>
      </c>
      <c r="B19" s="5"/>
      <c r="C19" s="5"/>
      <c r="D19" s="6" t="s">
        <v>21</v>
      </c>
      <c r="E19" s="6"/>
      <c r="F19" s="6"/>
      <c r="G19" s="5" t="s">
        <v>41</v>
      </c>
      <c r="H19" s="5"/>
      <c r="I19" s="5"/>
      <c r="J19" s="6" t="s">
        <v>42</v>
      </c>
      <c r="K19" s="6"/>
      <c r="L19" s="6"/>
      <c r="M19" s="20">
        <f>926100*12+780040*12+30000000*0.03</f>
        <v>21373680</v>
      </c>
    </row>
    <row r="20" spans="1:13" ht="35.5" customHeight="1">
      <c r="A20" s="11" t="s">
        <v>43</v>
      </c>
      <c r="B20" s="11"/>
      <c r="C20" s="11"/>
      <c r="D20" s="12" t="s">
        <v>44</v>
      </c>
      <c r="E20" s="12"/>
      <c r="F20" s="12"/>
      <c r="G20" s="5" t="s">
        <v>45</v>
      </c>
      <c r="H20" s="5"/>
      <c r="I20" s="5"/>
      <c r="J20" s="6" t="s">
        <v>46</v>
      </c>
      <c r="K20" s="6"/>
      <c r="L20" s="6"/>
    </row>
    <row r="21" spans="1:13" ht="25" customHeight="1">
      <c r="A21" s="5" t="s">
        <v>34</v>
      </c>
      <c r="B21" s="5"/>
      <c r="C21" s="5"/>
      <c r="D21" s="6" t="s">
        <v>35</v>
      </c>
      <c r="E21" s="6"/>
      <c r="F21" s="6"/>
      <c r="G21" s="5" t="s">
        <v>47</v>
      </c>
      <c r="H21" s="5"/>
      <c r="I21" s="5"/>
      <c r="J21" s="6" t="s">
        <v>48</v>
      </c>
      <c r="K21" s="6"/>
      <c r="L21" s="6"/>
    </row>
    <row r="22" spans="1:13" ht="29.5" customHeight="1">
      <c r="A22" s="5" t="s">
        <v>49</v>
      </c>
      <c r="B22" s="5"/>
      <c r="C22" s="5"/>
      <c r="D22" s="18">
        <v>46113</v>
      </c>
      <c r="E22" s="6"/>
      <c r="F22" s="6"/>
      <c r="G22" s="5" t="s">
        <v>50</v>
      </c>
      <c r="H22" s="5"/>
      <c r="I22" s="5"/>
      <c r="J22" s="6" t="s">
        <v>51</v>
      </c>
      <c r="K22" s="6"/>
      <c r="L22" s="6"/>
    </row>
    <row r="23" spans="1:13" ht="18" customHeight="1"/>
    <row r="24" spans="1:13" ht="18" customHeight="1">
      <c r="A24" s="10" t="s">
        <v>52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3" ht="29" customHeight="1">
      <c r="A25" s="5" t="s">
        <v>53</v>
      </c>
      <c r="B25" s="5"/>
      <c r="C25" s="5"/>
      <c r="D25" s="19">
        <v>226127070</v>
      </c>
      <c r="E25" s="6"/>
      <c r="F25" s="6"/>
      <c r="G25" s="5" t="s">
        <v>54</v>
      </c>
      <c r="H25" s="5"/>
      <c r="I25" s="5"/>
      <c r="J25" s="6" t="s">
        <v>55</v>
      </c>
      <c r="K25" s="6"/>
      <c r="L25" s="6"/>
    </row>
    <row r="26" spans="1:13" ht="34.5" customHeight="1">
      <c r="A26" s="9" t="s">
        <v>56</v>
      </c>
      <c r="B26" s="9"/>
      <c r="C26" s="9"/>
      <c r="D26" s="9"/>
      <c r="E26" s="9"/>
      <c r="F26" s="9"/>
      <c r="G26" s="7" t="s">
        <v>57</v>
      </c>
      <c r="H26" s="7"/>
      <c r="I26" s="7"/>
      <c r="J26" s="7"/>
      <c r="K26" s="7"/>
      <c r="L26" s="7"/>
    </row>
    <row r="27" spans="1:13" ht="32.5" customHeight="1">
      <c r="A27" s="9" t="s">
        <v>58</v>
      </c>
      <c r="B27" s="9"/>
      <c r="C27" s="9"/>
      <c r="D27" s="9"/>
      <c r="E27" s="9"/>
      <c r="F27" s="9"/>
      <c r="G27" s="7" t="s">
        <v>59</v>
      </c>
      <c r="H27" s="7"/>
      <c r="I27" s="7"/>
      <c r="J27" s="7"/>
      <c r="K27" s="7"/>
      <c r="L27" s="7"/>
    </row>
    <row r="28" spans="1:13" ht="18" customHeight="1"/>
    <row r="29" spans="1:13" ht="18" customHeight="1">
      <c r="A29" s="10" t="s">
        <v>60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3" ht="26.5" customHeight="1">
      <c r="A30" s="9" t="s">
        <v>61</v>
      </c>
      <c r="B30" s="9"/>
      <c r="C30" s="9" t="s">
        <v>62</v>
      </c>
      <c r="D30" s="9"/>
      <c r="E30" s="9"/>
      <c r="F30" s="9"/>
      <c r="G30" s="9"/>
      <c r="H30" s="9"/>
      <c r="I30" s="9"/>
      <c r="J30" s="9"/>
      <c r="K30" s="9" t="s">
        <v>63</v>
      </c>
      <c r="L30" s="9"/>
    </row>
    <row r="31" spans="1:13" ht="18" customHeight="1">
      <c r="A31" s="9" t="s">
        <v>64</v>
      </c>
      <c r="B31" s="9"/>
      <c r="C31" s="6" t="s">
        <v>65</v>
      </c>
      <c r="D31" s="6"/>
      <c r="E31" s="6"/>
      <c r="F31" s="6"/>
      <c r="G31" s="6"/>
      <c r="H31" s="6"/>
      <c r="I31" s="6"/>
      <c r="J31" s="6"/>
      <c r="K31" s="7" t="s">
        <v>66</v>
      </c>
      <c r="L31" s="7"/>
    </row>
    <row r="32" spans="1:13" ht="18" customHeight="1">
      <c r="A32" s="9" t="s">
        <v>67</v>
      </c>
      <c r="B32" s="9"/>
      <c r="C32" s="6" t="s">
        <v>68</v>
      </c>
      <c r="D32" s="6"/>
      <c r="E32" s="6"/>
      <c r="F32" s="6"/>
      <c r="G32" s="6"/>
      <c r="H32" s="6"/>
      <c r="I32" s="6"/>
      <c r="J32" s="6"/>
      <c r="K32" s="7" t="s">
        <v>69</v>
      </c>
      <c r="L32" s="7"/>
    </row>
    <row r="33" spans="1:12" ht="18" customHeight="1">
      <c r="A33" s="9" t="s">
        <v>70</v>
      </c>
      <c r="B33" s="9"/>
      <c r="C33" s="6" t="s">
        <v>71</v>
      </c>
      <c r="D33" s="6"/>
      <c r="E33" s="6"/>
      <c r="F33" s="6"/>
      <c r="G33" s="6"/>
      <c r="H33" s="6"/>
      <c r="I33" s="6"/>
      <c r="J33" s="6"/>
      <c r="K33" s="7" t="s">
        <v>72</v>
      </c>
      <c r="L33" s="7"/>
    </row>
    <row r="34" spans="1:12" ht="18" customHeight="1">
      <c r="A34" s="9" t="s">
        <v>73</v>
      </c>
      <c r="B34" s="9"/>
      <c r="C34" s="6" t="s">
        <v>74</v>
      </c>
      <c r="D34" s="6"/>
      <c r="E34" s="7" t="s">
        <v>75</v>
      </c>
      <c r="F34" s="7"/>
      <c r="G34" s="7"/>
      <c r="H34" s="7"/>
      <c r="I34" s="7"/>
      <c r="J34" s="7"/>
      <c r="K34" s="7" t="s">
        <v>76</v>
      </c>
      <c r="L34" s="7"/>
    </row>
    <row r="35" spans="1:12" ht="18" customHeight="1">
      <c r="A35" s="9" t="s">
        <v>77</v>
      </c>
      <c r="B35" s="9"/>
      <c r="C35" s="6" t="s">
        <v>78</v>
      </c>
      <c r="D35" s="6"/>
      <c r="E35" s="6" t="s">
        <v>79</v>
      </c>
      <c r="F35" s="6"/>
      <c r="G35" s="6" t="s">
        <v>80</v>
      </c>
      <c r="H35" s="6"/>
      <c r="I35" s="6" t="s">
        <v>81</v>
      </c>
      <c r="J35" s="6"/>
      <c r="K35" s="6" t="s">
        <v>82</v>
      </c>
      <c r="L35" s="6"/>
    </row>
    <row r="36" spans="1:12" ht="18" customHeight="1"/>
    <row r="37" spans="1:12" ht="18" customHeight="1">
      <c r="A37" s="10" t="s">
        <v>83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8" customHeight="1">
      <c r="A38" s="8" t="s">
        <v>84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</row>
    <row r="39" spans="1:12" ht="18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</row>
    <row r="40" spans="1:12" ht="18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</row>
    <row r="41" spans="1:12" ht="18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</row>
    <row r="42" spans="1:12" ht="18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</row>
    <row r="43" spans="1:12" ht="18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</row>
    <row r="44" spans="1:12" ht="18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</row>
    <row r="45" spans="1:12" ht="18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</row>
    <row r="46" spans="1:12" ht="18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</row>
    <row r="47" spans="1:12" ht="18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</row>
    <row r="48" spans="1:12" ht="18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</sheetData>
  <mergeCells count="111">
    <mergeCell ref="A37:L37"/>
    <mergeCell ref="A21:C21"/>
    <mergeCell ref="G15:I15"/>
    <mergeCell ref="J11:L11"/>
    <mergeCell ref="J25:L25"/>
    <mergeCell ref="K35:L35"/>
    <mergeCell ref="D12:F12"/>
    <mergeCell ref="I33:J33"/>
    <mergeCell ref="A5:L5"/>
    <mergeCell ref="K32:L32"/>
    <mergeCell ref="D25:F25"/>
    <mergeCell ref="A13:C13"/>
    <mergeCell ref="G33:H33"/>
    <mergeCell ref="D11:F11"/>
    <mergeCell ref="G13:I13"/>
    <mergeCell ref="D8:G8"/>
    <mergeCell ref="K33:L33"/>
    <mergeCell ref="A12:C12"/>
    <mergeCell ref="H7:J7"/>
    <mergeCell ref="G14:I14"/>
    <mergeCell ref="I32:J32"/>
    <mergeCell ref="A14:C14"/>
    <mergeCell ref="D14:F14"/>
    <mergeCell ref="D6:G6"/>
    <mergeCell ref="A33:B33"/>
    <mergeCell ref="A35:B35"/>
    <mergeCell ref="J13:L13"/>
    <mergeCell ref="A6:C6"/>
    <mergeCell ref="D7:G7"/>
    <mergeCell ref="K7:L7"/>
    <mergeCell ref="E32:F32"/>
    <mergeCell ref="J19:L19"/>
    <mergeCell ref="G32:H32"/>
    <mergeCell ref="D22:F22"/>
    <mergeCell ref="K6:L6"/>
    <mergeCell ref="A7:C7"/>
    <mergeCell ref="H6:J6"/>
    <mergeCell ref="A34:B34"/>
    <mergeCell ref="A25:C25"/>
    <mergeCell ref="C34:D34"/>
    <mergeCell ref="D13:F13"/>
    <mergeCell ref="K34:L34"/>
    <mergeCell ref="C33:D33"/>
    <mergeCell ref="E33:F33"/>
    <mergeCell ref="G18:I18"/>
    <mergeCell ref="J20:L20"/>
    <mergeCell ref="A15:C15"/>
    <mergeCell ref="A24:L24"/>
    <mergeCell ref="J14:L14"/>
    <mergeCell ref="D21:F21"/>
    <mergeCell ref="J15:L15"/>
    <mergeCell ref="I30:J30"/>
    <mergeCell ref="A30:B30"/>
    <mergeCell ref="A10:L10"/>
    <mergeCell ref="E30:F30"/>
    <mergeCell ref="G30:H30"/>
    <mergeCell ref="J22:L22"/>
    <mergeCell ref="A8:C8"/>
    <mergeCell ref="A17:L17"/>
    <mergeCell ref="J12:L12"/>
    <mergeCell ref="G26:L26"/>
    <mergeCell ref="D15:F15"/>
    <mergeCell ref="G20:I20"/>
    <mergeCell ref="A20:C20"/>
    <mergeCell ref="A29:L29"/>
    <mergeCell ref="G22:I22"/>
    <mergeCell ref="D20:F20"/>
    <mergeCell ref="G21:I21"/>
    <mergeCell ref="G19:I19"/>
    <mergeCell ref="A18:C18"/>
    <mergeCell ref="A26:F26"/>
    <mergeCell ref="A22:C22"/>
    <mergeCell ref="D18:F18"/>
    <mergeCell ref="K8:L8"/>
    <mergeCell ref="J18:L18"/>
    <mergeCell ref="H8:J8"/>
    <mergeCell ref="G12:I12"/>
    <mergeCell ref="G11:I11"/>
    <mergeCell ref="D19:F19"/>
    <mergeCell ref="A11:C11"/>
    <mergeCell ref="G27:L27"/>
    <mergeCell ref="A38:L48"/>
    <mergeCell ref="G31:H31"/>
    <mergeCell ref="I31:J31"/>
    <mergeCell ref="A31:B31"/>
    <mergeCell ref="J21:L21"/>
    <mergeCell ref="G25:I25"/>
    <mergeCell ref="A19:C19"/>
    <mergeCell ref="K31:L31"/>
    <mergeCell ref="C31:D31"/>
    <mergeCell ref="E31:F31"/>
    <mergeCell ref="A32:B32"/>
    <mergeCell ref="C32:D32"/>
    <mergeCell ref="G35:H35"/>
    <mergeCell ref="I35:J35"/>
    <mergeCell ref="C35:D35"/>
    <mergeCell ref="E35:F35"/>
    <mergeCell ref="K30:L30"/>
    <mergeCell ref="C30:D30"/>
    <mergeCell ref="A27:F27"/>
    <mergeCell ref="E34:J34"/>
    <mergeCell ref="H1:J1"/>
    <mergeCell ref="H2:J2"/>
    <mergeCell ref="D2:E2"/>
    <mergeCell ref="D3:E3"/>
    <mergeCell ref="F2:G2"/>
    <mergeCell ref="F3:G3"/>
    <mergeCell ref="H3:J3"/>
    <mergeCell ref="B2:C2"/>
    <mergeCell ref="B3:C3"/>
    <mergeCell ref="B1:G1"/>
  </mergeCells>
  <phoneticPr fontId="5" type="noConversion"/>
  <pageMargins left="0.3" right="0.3" top="0.5" bottom="0.5" header="0.5" footer="0.5"/>
  <pageSetup paperSize="9" scale="7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DD6DE-40C0-4E5D-A578-96CEB2935796}">
  <dimension ref="A1:L27"/>
  <sheetViews>
    <sheetView showGridLines="0" workbookViewId="0">
      <selection activeCell="A12" sqref="A12:L12"/>
    </sheetView>
  </sheetViews>
  <sheetFormatPr defaultRowHeight="17"/>
  <sheetData>
    <row r="1" spans="1:12" ht="21">
      <c r="A1" s="14" t="s">
        <v>85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38.5" customHeight="1">
      <c r="A2" s="13" t="s">
        <v>12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>
      <c r="A3" s="15" t="s">
        <v>86</v>
      </c>
      <c r="B3" s="15"/>
      <c r="C3" s="15"/>
      <c r="D3" s="15" t="s">
        <v>87</v>
      </c>
      <c r="E3" s="15"/>
      <c r="F3" s="15"/>
      <c r="G3" s="15" t="s">
        <v>88</v>
      </c>
      <c r="H3" s="15"/>
      <c r="I3" s="15"/>
      <c r="J3" s="15" t="s">
        <v>89</v>
      </c>
      <c r="K3" s="15"/>
      <c r="L3" s="15"/>
    </row>
    <row r="4" spans="1:12">
      <c r="A4" s="9" t="s">
        <v>90</v>
      </c>
      <c r="B4" s="9"/>
      <c r="C4" s="9"/>
      <c r="D4" s="7" t="s">
        <v>29</v>
      </c>
      <c r="E4" s="7"/>
      <c r="F4" s="7"/>
      <c r="G4" s="7" t="s">
        <v>91</v>
      </c>
      <c r="H4" s="7"/>
      <c r="I4" s="7"/>
      <c r="J4" s="7"/>
      <c r="K4" s="7"/>
      <c r="L4" s="7"/>
    </row>
    <row r="5" spans="1:12">
      <c r="A5" s="9" t="s">
        <v>92</v>
      </c>
      <c r="B5" s="9"/>
      <c r="C5" s="9"/>
      <c r="D5" s="7" t="s">
        <v>27</v>
      </c>
      <c r="E5" s="7"/>
      <c r="F5" s="7"/>
      <c r="G5" s="7" t="s">
        <v>91</v>
      </c>
      <c r="H5" s="7"/>
      <c r="I5" s="7"/>
      <c r="J5" s="7"/>
      <c r="K5" s="7"/>
      <c r="L5" s="7"/>
    </row>
    <row r="6" spans="1:12">
      <c r="A6" s="9" t="s">
        <v>93</v>
      </c>
      <c r="B6" s="9"/>
      <c r="C6" s="9"/>
      <c r="D6" s="7" t="s">
        <v>94</v>
      </c>
      <c r="E6" s="7"/>
      <c r="F6" s="7"/>
      <c r="G6" s="7" t="s">
        <v>91</v>
      </c>
      <c r="H6" s="7"/>
      <c r="I6" s="7"/>
      <c r="J6" s="7"/>
      <c r="K6" s="7"/>
      <c r="L6" s="7"/>
    </row>
    <row r="7" spans="1:12">
      <c r="A7" s="9" t="s">
        <v>95</v>
      </c>
      <c r="B7" s="9"/>
      <c r="C7" s="9"/>
      <c r="D7" s="7" t="s">
        <v>96</v>
      </c>
      <c r="E7" s="7"/>
      <c r="F7" s="7"/>
      <c r="G7" s="7" t="s">
        <v>91</v>
      </c>
      <c r="H7" s="7"/>
      <c r="I7" s="7"/>
      <c r="J7" s="7" t="s">
        <v>97</v>
      </c>
      <c r="K7" s="7"/>
      <c r="L7" s="7"/>
    </row>
    <row r="8" spans="1:12">
      <c r="A8" s="9" t="s">
        <v>98</v>
      </c>
      <c r="B8" s="9"/>
      <c r="C8" s="9"/>
      <c r="D8" s="7" t="s">
        <v>99</v>
      </c>
      <c r="E8" s="7"/>
      <c r="F8" s="7"/>
      <c r="G8" s="7" t="s">
        <v>100</v>
      </c>
      <c r="H8" s="7"/>
      <c r="I8" s="7"/>
      <c r="J8" s="7" t="s">
        <v>101</v>
      </c>
      <c r="K8" s="7"/>
      <c r="L8" s="7"/>
    </row>
    <row r="9" spans="1:12" ht="80" customHeight="1">
      <c r="A9" s="9" t="s">
        <v>102</v>
      </c>
      <c r="B9" s="9"/>
      <c r="C9" s="9"/>
      <c r="D9" s="7" t="s">
        <v>103</v>
      </c>
      <c r="E9" s="7"/>
      <c r="F9" s="7"/>
      <c r="G9" s="7" t="s">
        <v>104</v>
      </c>
      <c r="H9" s="7"/>
      <c r="I9" s="7"/>
      <c r="J9" s="7" t="s">
        <v>105</v>
      </c>
      <c r="K9" s="7"/>
      <c r="L9" s="7"/>
    </row>
    <row r="10" spans="1:12">
      <c r="A10" s="9" t="s">
        <v>106</v>
      </c>
      <c r="B10" s="9"/>
      <c r="C10" s="9"/>
      <c r="D10" s="7" t="s">
        <v>107</v>
      </c>
      <c r="E10" s="7"/>
      <c r="F10" s="7"/>
      <c r="G10" s="7" t="s">
        <v>108</v>
      </c>
      <c r="H10" s="7"/>
      <c r="I10" s="7"/>
      <c r="J10" s="7" t="s">
        <v>109</v>
      </c>
      <c r="K10" s="7"/>
      <c r="L10" s="7"/>
    </row>
    <row r="12" spans="1:12">
      <c r="A12" s="15" t="s">
        <v>110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</row>
    <row r="13" spans="1:12">
      <c r="A13" s="15" t="s">
        <v>111</v>
      </c>
      <c r="B13" s="15"/>
      <c r="C13" s="15"/>
      <c r="D13" s="15" t="s">
        <v>112</v>
      </c>
      <c r="E13" s="15"/>
      <c r="F13" s="15"/>
      <c r="G13" s="15" t="s">
        <v>113</v>
      </c>
      <c r="H13" s="15"/>
      <c r="I13" s="15"/>
      <c r="J13" s="15" t="s">
        <v>114</v>
      </c>
      <c r="K13" s="15"/>
      <c r="L13" s="15"/>
    </row>
    <row r="14" spans="1:12">
      <c r="A14" s="9" t="s">
        <v>95</v>
      </c>
      <c r="B14" s="9"/>
      <c r="C14" s="9"/>
      <c r="D14" s="6" t="s">
        <v>115</v>
      </c>
      <c r="E14" s="6"/>
      <c r="F14" s="6"/>
      <c r="G14" s="6" t="s">
        <v>115</v>
      </c>
      <c r="H14" s="6"/>
      <c r="I14" s="6"/>
      <c r="J14" s="6"/>
      <c r="K14" s="6"/>
      <c r="L14" s="6"/>
    </row>
    <row r="15" spans="1:12">
      <c r="A15" s="9" t="s">
        <v>116</v>
      </c>
      <c r="B15" s="9"/>
      <c r="C15" s="9"/>
      <c r="D15" s="6" t="s">
        <v>117</v>
      </c>
      <c r="E15" s="6"/>
      <c r="F15" s="6"/>
      <c r="G15" s="6" t="s">
        <v>118</v>
      </c>
      <c r="H15" s="6"/>
      <c r="I15" s="6"/>
      <c r="J15" s="6" t="s">
        <v>119</v>
      </c>
      <c r="K15" s="6"/>
      <c r="L15" s="6"/>
    </row>
    <row r="16" spans="1:12">
      <c r="A16" s="9" t="s">
        <v>120</v>
      </c>
      <c r="B16" s="9"/>
      <c r="C16" s="9"/>
      <c r="D16" s="6" t="s">
        <v>121</v>
      </c>
      <c r="E16" s="6"/>
      <c r="F16" s="6"/>
      <c r="G16" s="6" t="s">
        <v>122</v>
      </c>
      <c r="H16" s="6"/>
      <c r="I16" s="6"/>
      <c r="J16" s="6" t="s">
        <v>123</v>
      </c>
      <c r="K16" s="6"/>
      <c r="L16" s="6"/>
    </row>
    <row r="17" spans="1:12">
      <c r="A17" s="9" t="s">
        <v>124</v>
      </c>
      <c r="B17" s="9"/>
      <c r="C17" s="9"/>
      <c r="D17" s="6" t="s">
        <v>125</v>
      </c>
      <c r="E17" s="6"/>
      <c r="F17" s="6"/>
      <c r="G17" s="6" t="s">
        <v>125</v>
      </c>
      <c r="H17" s="6"/>
      <c r="I17" s="6"/>
      <c r="J17" s="6" t="s">
        <v>126</v>
      </c>
      <c r="K17" s="6"/>
      <c r="L17" s="6"/>
    </row>
    <row r="18" spans="1:12">
      <c r="A18" s="15" t="s">
        <v>127</v>
      </c>
      <c r="B18" s="15"/>
      <c r="C18" s="15"/>
      <c r="D18" s="12" t="s">
        <v>128</v>
      </c>
      <c r="E18" s="12"/>
      <c r="F18" s="12"/>
      <c r="G18" s="12" t="s">
        <v>129</v>
      </c>
      <c r="H18" s="12"/>
      <c r="I18" s="12"/>
      <c r="J18" s="12" t="s">
        <v>130</v>
      </c>
      <c r="K18" s="12"/>
      <c r="L18" s="12"/>
    </row>
    <row r="20" spans="1:12">
      <c r="C20" s="9" t="s">
        <v>131</v>
      </c>
      <c r="D20" s="9"/>
      <c r="E20" s="9"/>
      <c r="F20" s="9"/>
      <c r="G20" s="6" t="s">
        <v>132</v>
      </c>
      <c r="H20" s="6"/>
      <c r="I20" s="6"/>
    </row>
    <row r="21" spans="1:12">
      <c r="C21" s="9" t="s">
        <v>133</v>
      </c>
      <c r="D21" s="9"/>
      <c r="E21" s="9"/>
      <c r="F21" s="9"/>
      <c r="G21" s="6" t="s">
        <v>134</v>
      </c>
      <c r="H21" s="6"/>
      <c r="I21" s="6"/>
    </row>
    <row r="23" spans="1:12">
      <c r="A23" s="15" t="s">
        <v>135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</row>
    <row r="24" spans="1:12" ht="30.5" customHeight="1">
      <c r="A24" s="15"/>
      <c r="B24" s="15"/>
      <c r="C24" s="15" t="s">
        <v>136</v>
      </c>
      <c r="D24" s="15"/>
      <c r="E24" s="15" t="s">
        <v>137</v>
      </c>
      <c r="F24" s="15"/>
      <c r="G24" s="15" t="s">
        <v>138</v>
      </c>
      <c r="H24" s="15"/>
      <c r="I24" s="15" t="s">
        <v>139</v>
      </c>
      <c r="J24" s="15"/>
      <c r="K24" s="15" t="s">
        <v>140</v>
      </c>
      <c r="L24" s="15"/>
    </row>
    <row r="25" spans="1:12">
      <c r="A25" s="9" t="s">
        <v>141</v>
      </c>
      <c r="B25" s="9"/>
      <c r="C25" s="7" t="s">
        <v>142</v>
      </c>
      <c r="D25" s="7"/>
      <c r="E25" s="7" t="s">
        <v>143</v>
      </c>
      <c r="F25" s="7"/>
      <c r="G25" s="7" t="s">
        <v>144</v>
      </c>
      <c r="H25" s="7"/>
      <c r="I25" s="7" t="s">
        <v>145</v>
      </c>
      <c r="J25" s="7"/>
      <c r="K25" s="7" t="s">
        <v>146</v>
      </c>
      <c r="L25" s="7"/>
    </row>
    <row r="26" spans="1:12">
      <c r="A26" s="9" t="s">
        <v>147</v>
      </c>
      <c r="B26" s="9"/>
      <c r="C26" s="7" t="s">
        <v>148</v>
      </c>
      <c r="D26" s="7"/>
      <c r="E26" s="7" t="s">
        <v>149</v>
      </c>
      <c r="F26" s="7"/>
      <c r="G26" s="7" t="s">
        <v>150</v>
      </c>
      <c r="H26" s="7"/>
      <c r="I26" s="7" t="s">
        <v>151</v>
      </c>
      <c r="J26" s="7"/>
      <c r="K26" s="7" t="s">
        <v>152</v>
      </c>
      <c r="L26" s="7"/>
    </row>
    <row r="27" spans="1:12">
      <c r="A27" s="16" t="s">
        <v>153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</row>
  </sheetData>
  <mergeCells count="83">
    <mergeCell ref="G25:H25"/>
    <mergeCell ref="J13:L13"/>
    <mergeCell ref="G18:I18"/>
    <mergeCell ref="A27:L27"/>
    <mergeCell ref="D13:F13"/>
    <mergeCell ref="D7:F7"/>
    <mergeCell ref="I26:J26"/>
    <mergeCell ref="A4:C4"/>
    <mergeCell ref="K26:L26"/>
    <mergeCell ref="A26:B26"/>
    <mergeCell ref="A13:C13"/>
    <mergeCell ref="C26:D26"/>
    <mergeCell ref="J7:L7"/>
    <mergeCell ref="A16:C16"/>
    <mergeCell ref="G10:I10"/>
    <mergeCell ref="J15:L15"/>
    <mergeCell ref="D14:F14"/>
    <mergeCell ref="D16:F16"/>
    <mergeCell ref="E25:F25"/>
    <mergeCell ref="G4:I4"/>
    <mergeCell ref="J6:L6"/>
    <mergeCell ref="A1:L1"/>
    <mergeCell ref="G9:I9"/>
    <mergeCell ref="J5:L5"/>
    <mergeCell ref="D9:F9"/>
    <mergeCell ref="A2:L2"/>
    <mergeCell ref="J9:L9"/>
    <mergeCell ref="E26:F26"/>
    <mergeCell ref="G26:H26"/>
    <mergeCell ref="D8:F8"/>
    <mergeCell ref="A17:C17"/>
    <mergeCell ref="J16:L16"/>
    <mergeCell ref="I25:J25"/>
    <mergeCell ref="K25:L25"/>
    <mergeCell ref="G17:I17"/>
    <mergeCell ref="G21:I21"/>
    <mergeCell ref="J10:L10"/>
    <mergeCell ref="A12:L12"/>
    <mergeCell ref="C21:F21"/>
    <mergeCell ref="G8:I8"/>
    <mergeCell ref="J8:L8"/>
    <mergeCell ref="I24:J24"/>
    <mergeCell ref="K24:L24"/>
    <mergeCell ref="J14:L14"/>
    <mergeCell ref="C20:F20"/>
    <mergeCell ref="A25:B25"/>
    <mergeCell ref="A3:C3"/>
    <mergeCell ref="G14:I14"/>
    <mergeCell ref="A14:C14"/>
    <mergeCell ref="J3:L3"/>
    <mergeCell ref="G3:I3"/>
    <mergeCell ref="G6:I6"/>
    <mergeCell ref="A7:C7"/>
    <mergeCell ref="C25:D25"/>
    <mergeCell ref="A18:C18"/>
    <mergeCell ref="G7:I7"/>
    <mergeCell ref="J18:L18"/>
    <mergeCell ref="A5:C5"/>
    <mergeCell ref="J4:L4"/>
    <mergeCell ref="G16:I16"/>
    <mergeCell ref="A9:C9"/>
    <mergeCell ref="D5:F5"/>
    <mergeCell ref="D6:F6"/>
    <mergeCell ref="G5:I5"/>
    <mergeCell ref="G13:I13"/>
    <mergeCell ref="A6:C6"/>
    <mergeCell ref="D10:F10"/>
    <mergeCell ref="A10:C10"/>
    <mergeCell ref="A15:C15"/>
    <mergeCell ref="G15:I15"/>
    <mergeCell ref="D15:F15"/>
    <mergeCell ref="D3:F3"/>
    <mergeCell ref="D4:F4"/>
    <mergeCell ref="A8:C8"/>
    <mergeCell ref="C24:D24"/>
    <mergeCell ref="E24:F24"/>
    <mergeCell ref="D18:F18"/>
    <mergeCell ref="A24:B24"/>
    <mergeCell ref="D17:F17"/>
    <mergeCell ref="A23:L23"/>
    <mergeCell ref="G24:H24"/>
    <mergeCell ref="G20:I20"/>
    <mergeCell ref="J17:L17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임대갱신품의서</vt:lpstr>
      <vt:lpstr>비교표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태일 최</cp:lastModifiedBy>
  <cp:lastPrinted>2026-06-24T13:39:13Z</cp:lastPrinted>
  <dcterms:created xsi:type="dcterms:W3CDTF">2026-06-24T13:34:25Z</dcterms:created>
  <dcterms:modified xsi:type="dcterms:W3CDTF">2026-08-01T07:40:40Z</dcterms:modified>
</cp:coreProperties>
</file>