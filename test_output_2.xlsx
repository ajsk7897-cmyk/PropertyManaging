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1500" tabRatio="600" firstSheet="0" activeTab="0" autoFilterDateGrouping="1"/>
  </bookViews>
  <sheets>
    <sheet xmlns:r="http://schemas.openxmlformats.org/officeDocument/2006/relationships" name="임대갱신품의서" sheetId="1" state="visible" r:id="rId1"/>
    <sheet xmlns:r="http://schemas.openxmlformats.org/officeDocument/2006/relationships" name="비교표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yyyy-mm-dd"/>
    <numFmt numFmtId="166" formatCode="[$-en-US]dd-mmm-yyyy;@"/>
  </numFmts>
  <fonts count="8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sz val="9"/>
    </font>
    <font>
      <name val="Malgun Gothic"/>
      <charset val="129"/>
      <family val="3"/>
      <sz val="8"/>
    </font>
    <font>
      <name val="Malgun Gothic"/>
      <charset val="129"/>
      <family val="3"/>
      <b val="1"/>
      <sz val="14"/>
    </font>
    <font>
      <name val="Malgun Gothic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AEAEA"/>
      </patternFill>
    </fill>
    <fill>
      <patternFill patternType="solid">
        <fgColor rgb="FFD0D0D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41" fontId="7" fillId="0" borderId="0" applyAlignment="1">
      <alignment vertical="center"/>
    </xf>
  </cellStyleXfs>
  <cellXfs count="3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5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164" fontId="0" fillId="0" borderId="0" pivotButton="0" quotePrefix="0" xfId="1"/>
    <xf numFmtId="0" fontId="0" fillId="0" borderId="14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4" fontId="2" fillId="0" borderId="1" applyAlignment="1" pivotButton="0" quotePrefix="0" xfId="0">
      <alignment horizontal="right" vertical="center" wrapText="1"/>
    </xf>
    <xf numFmtId="166" fontId="4" fillId="2" borderId="1" applyAlignment="1" pivotButton="0" quotePrefix="0" xfId="0">
      <alignment horizontal="left" vertical="center" wrapText="1"/>
    </xf>
    <xf numFmtId="164" fontId="0" fillId="0" borderId="0" pivotButton="0" quotePrefix="0" xfId="1"/>
    <xf numFmtId="3" fontId="1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" fontId="2" fillId="0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tabSelected="1" topLeftCell="A22" workbookViewId="0">
      <selection activeCell="G27" sqref="G27:L27"/>
    </sheetView>
  </sheetViews>
  <sheetFormatPr baseColWidth="8" defaultRowHeight="17"/>
  <cols>
    <col width="9.5" customWidth="1" style="17" min="1" max="8"/>
    <col width="14.9140625" customWidth="1" style="17" min="9" max="9"/>
    <col width="12.25" customWidth="1" style="17" min="10" max="10"/>
    <col width="9.5" customWidth="1" style="17" min="11" max="12"/>
    <col width="12.33203125" bestFit="1" customWidth="1" style="17" min="13" max="13"/>
  </cols>
  <sheetData>
    <row r="1" ht="18" customHeight="1" s="17">
      <c r="B1" s="1" t="inlineStr">
        <is>
          <t>C&amp;W Approval</t>
        </is>
      </c>
      <c r="C1" s="21" t="n"/>
      <c r="D1" s="21" t="n"/>
      <c r="E1" s="21" t="n"/>
      <c r="F1" s="21" t="n"/>
      <c r="G1" s="22" t="n"/>
      <c r="H1" s="1" t="inlineStr">
        <is>
          <t>SCBK CRES Approval</t>
        </is>
      </c>
      <c r="I1" s="21" t="n"/>
      <c r="J1" s="22" t="n"/>
    </row>
    <row r="2" ht="18" customHeight="1" s="17">
      <c r="B2" s="2" t="inlineStr">
        <is>
          <t>Asst. Analyst</t>
        </is>
      </c>
      <c r="C2" s="22" t="n"/>
      <c r="D2" s="2" t="inlineStr">
        <is>
          <t>Manager</t>
        </is>
      </c>
      <c r="E2" s="22" t="n"/>
      <c r="F2" s="2" t="inlineStr">
        <is>
          <t>AM Lead</t>
        </is>
      </c>
      <c r="G2" s="22" t="n"/>
      <c r="H2" s="2" t="inlineStr">
        <is>
          <t>CHOP</t>
        </is>
      </c>
      <c r="I2" s="21" t="n"/>
      <c r="J2" s="22" t="n"/>
    </row>
    <row r="3" ht="18" customHeight="1" s="17">
      <c r="B3" s="4" t="n"/>
      <c r="C3" s="22" t="n"/>
      <c r="D3" s="3" t="n"/>
      <c r="E3" s="22" t="n"/>
      <c r="F3" s="3" t="n"/>
      <c r="G3" s="22" t="n"/>
      <c r="H3" s="3" t="n"/>
      <c r="I3" s="21" t="n"/>
      <c r="J3" s="22" t="n"/>
    </row>
    <row r="4" ht="18" customHeight="1" s="17"/>
    <row r="5" ht="18" customHeight="1" s="17">
      <c r="A5" s="14" t="inlineStr">
        <is>
          <t>Lease Renewal Proposal 임대갱신품의서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4" t="n"/>
    </row>
    <row r="6" ht="28" customHeight="1" s="17">
      <c r="A6" s="11" t="inlineStr">
        <is>
          <t>Address of the Premises
주소</t>
        </is>
      </c>
      <c r="B6" s="23" t="n"/>
      <c r="C6" s="24" t="n"/>
      <c r="D6" s="7" t="inlineStr"/>
      <c r="E6" s="23" t="n"/>
      <c r="F6" s="23" t="n"/>
      <c r="G6" s="24" t="n"/>
      <c r="H6" s="11" t="inlineStr">
        <is>
          <t>GPMS ID (Property Reference)</t>
        </is>
      </c>
      <c r="I6" s="23" t="n"/>
      <c r="J6" s="24" t="n"/>
      <c r="K6" s="13" t="inlineStr"/>
      <c r="L6" s="24" t="n"/>
    </row>
    <row r="7" ht="29" customHeight="1" s="17">
      <c r="A7" s="11" t="inlineStr">
        <is>
          <t>Name of Tenant
임차인명</t>
        </is>
      </c>
      <c r="B7" s="23" t="n"/>
      <c r="C7" s="24" t="n"/>
      <c r="D7" s="7" t="inlineStr"/>
      <c r="E7" s="23" t="n"/>
      <c r="F7" s="23" t="n"/>
      <c r="G7" s="24" t="n"/>
      <c r="H7" s="11" t="inlineStr">
        <is>
          <t>Usage of premises (A, BR, BR/O, O etc)
부동산 사용 목적</t>
        </is>
      </c>
      <c r="I7" s="23" t="n"/>
      <c r="J7" s="24" t="n"/>
      <c r="K7" s="7" t="inlineStr"/>
      <c r="L7" s="24" t="n"/>
    </row>
    <row r="8" ht="30.5" customHeight="1" s="17">
      <c r="A8" s="11" t="inlineStr">
        <is>
          <t>Name of Real Estate Agent
대리인명</t>
        </is>
      </c>
      <c r="B8" s="23" t="n"/>
      <c r="C8" s="24" t="n"/>
      <c r="D8" s="7" t="inlineStr"/>
      <c r="E8" s="23" t="n"/>
      <c r="F8" s="23" t="n"/>
      <c r="G8" s="24" t="n"/>
      <c r="H8" s="11" t="inlineStr">
        <is>
          <t>Demise (1st, 2nd, G etc..)
임대층</t>
        </is>
      </c>
      <c r="I8" s="23" t="n"/>
      <c r="J8" s="24" t="n"/>
      <c r="K8" s="7" t="inlineStr"/>
      <c r="L8" s="24" t="n"/>
    </row>
    <row r="9" ht="18" customHeight="1" s="17"/>
    <row r="10" ht="18" customHeight="1" s="17">
      <c r="A10" s="10" t="inlineStr">
        <is>
          <t>▲ Current Lease Details 기존 임대 조건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4" t="n"/>
    </row>
    <row r="11" ht="25" customHeight="1" s="17">
      <c r="A11" s="5" t="inlineStr">
        <is>
          <t>Gross Area in py
총임대면적 (py)</t>
        </is>
      </c>
      <c r="B11" s="23" t="n"/>
      <c r="C11" s="24" t="n"/>
      <c r="D11" s="25" t="n">
        <v>100</v>
      </c>
      <c r="E11" s="23" t="n"/>
      <c r="F11" s="24" t="n"/>
      <c r="G11" s="5" t="inlineStr">
        <is>
          <t>Net Area in py
전용면적 (py)</t>
        </is>
      </c>
      <c r="H11" s="23" t="n"/>
      <c r="I11" s="24" t="n"/>
      <c r="J11" s="25" t="n">
        <v>50</v>
      </c>
      <c r="K11" s="23" t="n"/>
      <c r="L11" s="24" t="n"/>
    </row>
    <row r="12" ht="18" customHeight="1" s="17">
      <c r="A12" s="5" t="inlineStr">
        <is>
          <t>Gross Area in ㎡</t>
        </is>
      </c>
      <c r="B12" s="23" t="n"/>
      <c r="C12" s="24" t="n"/>
      <c r="D12" s="25" t="n">
        <v>330.58</v>
      </c>
      <c r="E12" s="23" t="n"/>
      <c r="F12" s="24" t="n"/>
      <c r="G12" s="5" t="inlineStr">
        <is>
          <t>Net Area in ㎡</t>
        </is>
      </c>
      <c r="H12" s="23" t="n"/>
      <c r="I12" s="24" t="n"/>
      <c r="J12" s="25" t="n">
        <v>165.29</v>
      </c>
      <c r="K12" s="23" t="n"/>
      <c r="L12" s="24" t="n"/>
    </row>
    <row r="13" ht="18" customHeight="1" s="17">
      <c r="A13" s="5" t="inlineStr">
        <is>
          <t>Gross Area in sqft</t>
        </is>
      </c>
      <c r="B13" s="23" t="n"/>
      <c r="C13" s="24" t="n"/>
      <c r="D13" s="25" t="n">
        <v>3558.32</v>
      </c>
      <c r="E13" s="23" t="n"/>
      <c r="F13" s="24" t="n"/>
      <c r="G13" s="5" t="inlineStr">
        <is>
          <t>Net Area in sqft</t>
        </is>
      </c>
      <c r="H13" s="23" t="n"/>
      <c r="I13" s="24" t="n"/>
      <c r="J13" s="25" t="n">
        <v>1779.16</v>
      </c>
      <c r="K13" s="23" t="n"/>
      <c r="L13" s="24" t="n"/>
    </row>
    <row r="14" ht="28" customHeight="1" s="17">
      <c r="A14" s="5" t="inlineStr">
        <is>
          <t>Rent being received (per month)
임대료 (월)</t>
        </is>
      </c>
      <c r="B14" s="23" t="n"/>
      <c r="C14" s="24" t="n"/>
      <c r="D14" s="19" t="n">
        <v>1000000</v>
      </c>
      <c r="E14" s="23" t="n"/>
      <c r="F14" s="24" t="n"/>
      <c r="G14" s="5" t="inlineStr">
        <is>
          <t>Service/Maintenance per Month
고정 관리비 (월)</t>
        </is>
      </c>
      <c r="H14" s="23" t="n"/>
      <c r="I14" s="24" t="n"/>
      <c r="J14" s="19" t="n">
        <v>500000</v>
      </c>
      <c r="K14" s="23" t="n"/>
      <c r="L14" s="24" t="n"/>
    </row>
    <row r="15" ht="29" customHeight="1" s="17">
      <c r="A15" s="5" t="inlineStr">
        <is>
          <t>Refundable Deposit
반환 가능한 보증금</t>
        </is>
      </c>
      <c r="B15" s="23" t="n"/>
      <c r="C15" s="24" t="n"/>
      <c r="D15" s="19" t="n">
        <v>10000000</v>
      </c>
      <c r="E15" s="23" t="n"/>
      <c r="F15" s="24" t="n"/>
      <c r="G15" s="5" t="inlineStr">
        <is>
          <t>Lease Expiry Date 임대만료일</t>
        </is>
      </c>
      <c r="H15" s="23" t="n"/>
      <c r="I15" s="24" t="n"/>
      <c r="J15" s="6" t="inlineStr">
        <is>
          <t>31-Mar-26</t>
        </is>
      </c>
      <c r="K15" s="23" t="n"/>
      <c r="L15" s="24" t="n"/>
    </row>
    <row r="16" ht="18" customHeight="1" s="17"/>
    <row r="17" ht="18" customHeight="1" s="17">
      <c r="A17" s="26" t="inlineStr">
        <is>
          <t>▲ Renewal Proposal 갱신 조건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4" t="n"/>
    </row>
    <row r="18" ht="26.5" customHeight="1" s="17">
      <c r="A18" s="5" t="inlineStr">
        <is>
          <t>Proposed period of renewal (in months)
갱신 임대 기간 (월)</t>
        </is>
      </c>
      <c r="B18" s="23" t="n"/>
      <c r="C18" s="24" t="n"/>
      <c r="D18" s="6" t="inlineStr">
        <is>
          <t>36개월</t>
        </is>
      </c>
      <c r="E18" s="23" t="n"/>
      <c r="F18" s="24" t="n"/>
      <c r="G18" s="5" t="inlineStr">
        <is>
          <t>Net Area in py
전용면적 (py)</t>
        </is>
      </c>
      <c r="H18" s="23" t="n"/>
      <c r="I18" s="24" t="n"/>
      <c r="J18" s="25" t="n">
        <v>50</v>
      </c>
      <c r="K18" s="23" t="n"/>
      <c r="L18" s="24" t="n"/>
    </row>
    <row r="19" ht="29" customHeight="1" s="17">
      <c r="A19" s="5" t="inlineStr">
        <is>
          <t>Gross Area in py
총임대면적 (py)</t>
        </is>
      </c>
      <c r="B19" s="23" t="n"/>
      <c r="C19" s="24" t="n"/>
      <c r="D19" s="25" t="n">
        <v>100</v>
      </c>
      <c r="E19" s="23" t="n"/>
      <c r="F19" s="24" t="n"/>
      <c r="G19" s="5" t="inlineStr">
        <is>
          <t>New Service/Maintenance Agreed (per month)</t>
        </is>
      </c>
      <c r="H19" s="23" t="n"/>
      <c r="I19" s="24" t="n"/>
      <c r="J19" s="19" t="n">
        <v>550000</v>
      </c>
      <c r="K19" s="23" t="n"/>
      <c r="L19" s="24" t="n"/>
      <c r="M19" s="27">
        <f>926100*12+780040*12+30000000*0.03</f>
        <v/>
      </c>
    </row>
    <row r="20" ht="35.5" customHeight="1" s="17">
      <c r="A20" s="11" t="inlineStr">
        <is>
          <t>New Rent Agreed (per month)
갱신 임대료 (월)</t>
        </is>
      </c>
      <c r="B20" s="23" t="n"/>
      <c r="C20" s="24" t="n"/>
      <c r="D20" s="28" t="n">
        <v>1100000</v>
      </c>
      <c r="E20" s="23" t="n"/>
      <c r="F20" s="24" t="n"/>
      <c r="G20" s="5" t="inlineStr">
        <is>
          <t>Income of Deposit in-Country(% annum)
국내 보증금 수익율 (연 %)</t>
        </is>
      </c>
      <c r="H20" s="23" t="n"/>
      <c r="I20" s="24" t="n"/>
      <c r="J20" s="6" t="inlineStr">
        <is>
          <t>3%</t>
        </is>
      </c>
      <c r="K20" s="23" t="n"/>
      <c r="L20" s="24" t="n"/>
    </row>
    <row r="21" ht="25" customHeight="1" s="17">
      <c r="A21" s="5" t="inlineStr">
        <is>
          <t>Refundable Deposit
반환 가능한 보증금</t>
        </is>
      </c>
      <c r="B21" s="23" t="n"/>
      <c r="C21" s="24" t="n"/>
      <c r="D21" s="19" t="n">
        <v>11000000</v>
      </c>
      <c r="E21" s="23" t="n"/>
      <c r="F21" s="24" t="n"/>
      <c r="G21" s="5" t="inlineStr">
        <is>
          <t>Lease End Date
임대만료일</t>
        </is>
      </c>
      <c r="H21" s="23" t="n"/>
      <c r="I21" s="24" t="n"/>
      <c r="J21" s="29" t="n">
        <v>46388</v>
      </c>
      <c r="K21" s="23" t="n"/>
      <c r="L21" s="24" t="n"/>
    </row>
    <row r="22" ht="29.5" customHeight="1" s="17">
      <c r="A22" s="5" t="inlineStr">
        <is>
          <t>Lease Start Date
임대시작일</t>
        </is>
      </c>
      <c r="B22" s="23" t="n"/>
      <c r="C22" s="24" t="n"/>
      <c r="D22" s="29" t="n">
        <v>45292</v>
      </c>
      <c r="E22" s="23" t="n"/>
      <c r="F22" s="24" t="n"/>
      <c r="G22" s="5" t="inlineStr">
        <is>
          <t>Budgeted income per month
월 예산 수입 (월 보증금 수익+임대료+관리비)</t>
        </is>
      </c>
      <c r="H22" s="23" t="n"/>
      <c r="I22" s="24" t="n"/>
      <c r="J22" s="19">
        <f>(D21*J20)/12+D20+J19</f>
        <v/>
      </c>
      <c r="K22" s="23" t="n"/>
      <c r="L22" s="24" t="n"/>
    </row>
    <row r="23" ht="18" customHeight="1" s="17"/>
    <row r="24" ht="18" customHeight="1" s="17">
      <c r="A24" s="10" t="inlineStr">
        <is>
          <t>▲ Salient Features 주요 특징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4" t="n"/>
    </row>
    <row r="25" ht="29" customHeight="1" s="17">
      <c r="A25" s="5" t="inlineStr">
        <is>
          <t>Annual income of last lease
기존 연 수익(연 보증금 수익+임대료+관리비)</t>
        </is>
      </c>
      <c r="B25" s="23" t="n"/>
      <c r="C25" s="24" t="n"/>
      <c r="D25" s="19">
        <f>(D15*J20)+(D14*12)+(J14*12)</f>
        <v/>
      </c>
      <c r="E25" s="23" t="n"/>
      <c r="F25" s="24" t="n"/>
      <c r="G25" s="5" t="inlineStr">
        <is>
          <t>Annual income of current lease
갱신 후 연 수익(연 보증금 수익+임대료+관리비)</t>
        </is>
      </c>
      <c r="H25" s="23" t="n"/>
      <c r="I25" s="24" t="n"/>
      <c r="J25" s="19">
        <f>(D21*J20)+(D20*12)+(J19*12)</f>
        <v/>
      </c>
      <c r="K25" s="23" t="n"/>
      <c r="L25" s="24" t="n"/>
    </row>
    <row r="26" ht="34.5" customHeight="1" s="17">
      <c r="A26" s="9" t="inlineStr">
        <is>
          <t>Increase per annum against the last lease
갱신 전후 증감분(연 보증금 수익+임대료+관리비)</t>
        </is>
      </c>
      <c r="B26" s="23" t="n"/>
      <c r="C26" s="23" t="n"/>
      <c r="D26" s="23" t="n"/>
      <c r="E26" s="23" t="n"/>
      <c r="F26" s="24" t="n"/>
      <c r="G26" s="7" t="inlineStr">
        <is>
          <t>7.44%</t>
        </is>
      </c>
      <c r="H26" s="23" t="n"/>
      <c r="I26" s="23" t="n"/>
      <c r="J26" s="23" t="n"/>
      <c r="K26" s="23" t="n"/>
      <c r="L26" s="24" t="n"/>
    </row>
    <row r="27" ht="32.5" customHeight="1" s="17">
      <c r="A27" s="9" t="inlineStr">
        <is>
          <t>Committed income on this renewal (Includes income on Deposit)
중도해지 전까지의 확정적 수입(연 보증금 수익+임대료+관리비)</t>
        </is>
      </c>
      <c r="B27" s="23" t="n"/>
      <c r="C27" s="23" t="n"/>
      <c r="D27" s="23" t="n"/>
      <c r="E27" s="23" t="n"/>
      <c r="F27" s="24" t="n"/>
      <c r="G27" s="30">
        <f>(D21*J20)/2+(D20*6)+(J19*6)</f>
        <v/>
      </c>
      <c r="H27" s="23" t="n"/>
      <c r="I27" s="23" t="n"/>
      <c r="J27" s="23" t="n"/>
      <c r="K27" s="23" t="n"/>
      <c r="L27" s="24" t="n"/>
    </row>
    <row r="28" ht="18" customHeight="1" s="17"/>
    <row r="29" ht="18" customHeight="1" s="17">
      <c r="A29" s="10" t="inlineStr">
        <is>
          <t>▲ 비교 사례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4" t="n"/>
    </row>
    <row r="30" ht="26.5" customHeight="1" s="17">
      <c r="A30" s="9" t="inlineStr">
        <is>
          <t>해당 층</t>
        </is>
      </c>
      <c r="B30" s="24" t="n"/>
      <c r="C30" s="9" t="inlineStr">
        <is>
          <t>본 갱신
15F</t>
        </is>
      </c>
      <c r="D30" s="24" t="n"/>
      <c r="E30" s="9" t="n"/>
      <c r="F30" s="24" t="n"/>
      <c r="G30" s="9" t="n"/>
      <c r="H30" s="24" t="n"/>
      <c r="I30" s="9" t="n"/>
      <c r="J30" s="24" t="n"/>
      <c r="K30" s="9" t="inlineStr">
        <is>
          <t>본 갱신 - [1~3 평균]</t>
        </is>
      </c>
      <c r="L30" s="24" t="n"/>
    </row>
    <row r="31" ht="18" customHeight="1" s="17">
      <c r="A31" s="9" t="inlineStr">
        <is>
          <t>평당 보증금</t>
        </is>
      </c>
      <c r="B31" s="24" t="n"/>
      <c r="C31" s="19" t="n">
        <v>110000</v>
      </c>
      <c r="D31" s="24" t="n"/>
      <c r="E31" s="6" t="n"/>
      <c r="F31" s="24" t="n"/>
      <c r="G31" s="6" t="n"/>
      <c r="H31" s="24" t="n"/>
      <c r="I31" s="6" t="n"/>
      <c r="J31" s="24" t="n"/>
      <c r="K31" s="7" t="inlineStr">
        <is>
          <t>(169,464)</t>
        </is>
      </c>
      <c r="L31" s="24" t="n"/>
    </row>
    <row r="32" ht="18" customHeight="1" s="17">
      <c r="A32" s="9" t="inlineStr">
        <is>
          <t>월평당 임대료</t>
        </is>
      </c>
      <c r="B32" s="24" t="n"/>
      <c r="C32" s="19" t="n">
        <v>11000</v>
      </c>
      <c r="D32" s="24" t="n"/>
      <c r="E32" s="6" t="n"/>
      <c r="F32" s="24" t="n"/>
      <c r="G32" s="6" t="n"/>
      <c r="H32" s="24" t="n"/>
      <c r="I32" s="6" t="n"/>
      <c r="J32" s="24" t="n"/>
      <c r="K32" s="7" t="inlineStr">
        <is>
          <t>(3,461)</t>
        </is>
      </c>
      <c r="L32" s="24" t="n"/>
    </row>
    <row r="33" ht="18" customHeight="1" s="17">
      <c r="A33" s="9" t="inlineStr">
        <is>
          <t>월평당 관리비</t>
        </is>
      </c>
      <c r="B33" s="24" t="n"/>
      <c r="C33" s="19" t="n">
        <v>5500</v>
      </c>
      <c r="D33" s="24" t="n"/>
      <c r="E33" s="6" t="n"/>
      <c r="F33" s="24" t="n"/>
      <c r="G33" s="6" t="n"/>
      <c r="H33" s="24" t="n"/>
      <c r="I33" s="6" t="n"/>
      <c r="J33" s="24" t="n"/>
      <c r="K33" s="7" t="inlineStr">
        <is>
          <t>6,160</t>
        </is>
      </c>
      <c r="L33" s="24" t="n"/>
    </row>
    <row r="34" ht="18" customHeight="1" s="17">
      <c r="A34" s="9" t="inlineStr">
        <is>
          <t>건물 월평당 관리비</t>
        </is>
      </c>
      <c r="B34" s="24" t="n"/>
      <c r="C34" s="19" t="n">
        <v>5000</v>
      </c>
      <c r="D34" s="24" t="n"/>
      <c r="E34" s="7" t="inlineStr">
        <is>
          <t>본 갱신 월평당 관리비 - 건물 월평당 관리비</t>
        </is>
      </c>
      <c r="F34" s="23" t="n"/>
      <c r="G34" s="23" t="n"/>
      <c r="H34" s="23" t="n"/>
      <c r="I34" s="23" t="n"/>
      <c r="J34" s="24" t="n"/>
      <c r="K34" s="7" t="inlineStr">
        <is>
          <t>4,829</t>
        </is>
      </c>
      <c r="L34" s="24" t="n"/>
    </row>
    <row r="35" ht="18" customHeight="1" s="17">
      <c r="A35" s="9" t="inlineStr">
        <is>
          <t>평당 전세가@12%</t>
        </is>
      </c>
      <c r="B35" s="24" t="n"/>
      <c r="C35" s="19" t="n">
        <v>1210000</v>
      </c>
      <c r="D35" s="24" t="n"/>
      <c r="E35" s="6" t="inlineStr"/>
      <c r="F35" s="24" t="n"/>
      <c r="G35" s="6" t="inlineStr"/>
      <c r="H35" s="24" t="n"/>
      <c r="I35" s="6" t="inlineStr"/>
      <c r="J35" s="24" t="n"/>
      <c r="K35" s="6" t="inlineStr">
        <is>
          <t>(515,531)</t>
        </is>
      </c>
      <c r="L35" s="24" t="n"/>
    </row>
    <row r="36" ht="18" customHeight="1" s="17"/>
    <row r="37" ht="18" customHeight="1" s="17">
      <c r="A37" s="10" t="inlineStr">
        <is>
          <t>▲ Business Reason for the Renewal 본 갱신 및 조건의 합당한 근거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4" t="n"/>
    </row>
    <row r="38" ht="18" customHeight="1" s="17">
      <c r="A38" s="8" t="inlineStr">
        <is>
          <t xml:space="preserve">[계약 명]
1. 협의 History
1) 협의 이슈사항
 -  진행
2) 임대차 조건
 -   
  -&gt; 보증금 : 
  -&gt; 임대료 : 
  -&gt; 관리비 : 
  -&gt; Rent-Free : 
  -&gt; 계약기간 : 
2. 결론
 - 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2" t="n"/>
    </row>
    <row r="39" ht="18" customHeight="1" s="17">
      <c r="A39" s="33" t="n"/>
      <c r="L39" s="34" t="n"/>
    </row>
    <row r="40" ht="18" customHeight="1" s="17">
      <c r="A40" s="33" t="n"/>
      <c r="L40" s="34" t="n"/>
    </row>
    <row r="41" ht="18" customHeight="1" s="17">
      <c r="A41" s="33" t="n"/>
      <c r="L41" s="34" t="n"/>
    </row>
    <row r="42" ht="18" customHeight="1" s="17">
      <c r="A42" s="33" t="n"/>
      <c r="L42" s="34" t="n"/>
    </row>
    <row r="43" ht="18" customHeight="1" s="17">
      <c r="A43" s="33" t="n"/>
      <c r="L43" s="34" t="n"/>
    </row>
    <row r="44" ht="18" customHeight="1" s="17">
      <c r="A44" s="33" t="n"/>
      <c r="L44" s="34" t="n"/>
    </row>
    <row r="45" ht="18" customHeight="1" s="17">
      <c r="A45" s="33" t="n"/>
      <c r="L45" s="34" t="n"/>
    </row>
    <row r="46" ht="18" customHeight="1" s="17">
      <c r="A46" s="33" t="n"/>
      <c r="L46" s="34" t="n"/>
    </row>
    <row r="47" ht="18" customHeight="1" s="17">
      <c r="A47" s="33" t="n"/>
      <c r="L47" s="34" t="n"/>
    </row>
    <row r="48" ht="18" customHeight="1" s="17">
      <c r="A48" s="35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7" t="n"/>
    </row>
    <row r="49" ht="18" customHeight="1" s="17"/>
    <row r="50" ht="18" customHeight="1" s="17"/>
    <row r="51" ht="18" customHeight="1" s="17"/>
    <row r="52" ht="18" customHeight="1" s="17"/>
    <row r="53" ht="18" customHeight="1" s="17"/>
    <row r="54" ht="18" customHeight="1" s="17"/>
    <row r="55" ht="18" customHeight="1" s="17"/>
    <row r="56" ht="18" customHeight="1" s="17"/>
    <row r="57" ht="18" customHeight="1" s="17"/>
    <row r="58" ht="18" customHeight="1" s="17"/>
    <row r="59" ht="18" customHeight="1" s="17"/>
    <row r="60" ht="18" customHeight="1" s="17"/>
    <row r="61" ht="18" customHeight="1" s="17"/>
    <row r="62" ht="18" customHeight="1" s="17"/>
    <row r="63" ht="18" customHeight="1" s="17"/>
    <row r="64" ht="18" customHeight="1" s="17"/>
    <row r="65" ht="18" customHeight="1" s="17"/>
    <row r="66" ht="18" customHeight="1" s="17"/>
    <row r="67" ht="18" customHeight="1" s="17"/>
    <row r="68" ht="18" customHeight="1" s="17"/>
    <row r="69" ht="18" customHeight="1" s="17"/>
    <row r="70" ht="18" customHeight="1" s="17"/>
    <row r="71" ht="18" customHeight="1" s="17"/>
    <row r="72" ht="18" customHeight="1" s="17"/>
    <row r="73" ht="18" customHeight="1" s="17"/>
    <row r="74" ht="18" customHeight="1" s="17"/>
    <row r="75" ht="18" customHeight="1" s="17"/>
    <row r="76" ht="18" customHeight="1" s="17"/>
    <row r="77" ht="18" customHeight="1" s="17"/>
  </sheetData>
  <mergeCells count="111">
    <mergeCell ref="D11:F11"/>
    <mergeCell ref="G13:I13"/>
    <mergeCell ref="D8:G8"/>
    <mergeCell ref="A37:L37"/>
    <mergeCell ref="K33:L33"/>
    <mergeCell ref="A21:C21"/>
    <mergeCell ref="H2:J2"/>
    <mergeCell ref="G15:I15"/>
    <mergeCell ref="J11:L11"/>
    <mergeCell ref="J25:L25"/>
    <mergeCell ref="K35:L35"/>
    <mergeCell ref="D12:F12"/>
    <mergeCell ref="H3:J3"/>
    <mergeCell ref="D14:F14"/>
    <mergeCell ref="A33:B33"/>
    <mergeCell ref="D6:G6"/>
    <mergeCell ref="A35:B35"/>
    <mergeCell ref="J13:L13"/>
    <mergeCell ref="A6:C6"/>
    <mergeCell ref="D7:G7"/>
    <mergeCell ref="J15:L15"/>
    <mergeCell ref="I30:J30"/>
    <mergeCell ref="A30:B30"/>
    <mergeCell ref="K30:L30"/>
    <mergeCell ref="C30:D30"/>
    <mergeCell ref="B3:C3"/>
    <mergeCell ref="A27:F27"/>
    <mergeCell ref="B1:G1"/>
    <mergeCell ref="E34:J34"/>
    <mergeCell ref="A12:C12"/>
    <mergeCell ref="H7:J7"/>
    <mergeCell ref="B2:C2"/>
    <mergeCell ref="G14:I14"/>
    <mergeCell ref="D2:E2"/>
    <mergeCell ref="I32:J32"/>
    <mergeCell ref="A14:C14"/>
    <mergeCell ref="A5:L5"/>
    <mergeCell ref="K32:L32"/>
    <mergeCell ref="D25:F25"/>
    <mergeCell ref="A13:C13"/>
    <mergeCell ref="G33:H33"/>
    <mergeCell ref="I33:J33"/>
    <mergeCell ref="A15:C15"/>
    <mergeCell ref="G35:H35"/>
    <mergeCell ref="A24:L24"/>
    <mergeCell ref="I35:J35"/>
    <mergeCell ref="J14:L14"/>
    <mergeCell ref="K6:L6"/>
    <mergeCell ref="D21:F21"/>
    <mergeCell ref="A7:C7"/>
    <mergeCell ref="A34:B34"/>
    <mergeCell ref="H6:J6"/>
    <mergeCell ref="A25:C25"/>
    <mergeCell ref="C34:D34"/>
    <mergeCell ref="G19:I19"/>
    <mergeCell ref="A18:C18"/>
    <mergeCell ref="A26:F26"/>
    <mergeCell ref="A22:C22"/>
    <mergeCell ref="D18:F18"/>
    <mergeCell ref="G20:I20"/>
    <mergeCell ref="K31:L31"/>
    <mergeCell ref="C31:D31"/>
    <mergeCell ref="A20:C20"/>
    <mergeCell ref="E31:F31"/>
    <mergeCell ref="F2:G2"/>
    <mergeCell ref="A29:L29"/>
    <mergeCell ref="G22:I22"/>
    <mergeCell ref="K8:L8"/>
    <mergeCell ref="J18:L18"/>
    <mergeCell ref="H8:J8"/>
    <mergeCell ref="A32:B32"/>
    <mergeCell ref="G12:I12"/>
    <mergeCell ref="D20:F20"/>
    <mergeCell ref="G21:I21"/>
    <mergeCell ref="D3:E3"/>
    <mergeCell ref="H1:J1"/>
    <mergeCell ref="K7:L7"/>
    <mergeCell ref="C32:D32"/>
    <mergeCell ref="E32:F32"/>
    <mergeCell ref="J19:L19"/>
    <mergeCell ref="G32:H32"/>
    <mergeCell ref="D22:F22"/>
    <mergeCell ref="D13:F13"/>
    <mergeCell ref="K34:L34"/>
    <mergeCell ref="C33:D33"/>
    <mergeCell ref="E33:F33"/>
    <mergeCell ref="G18:I18"/>
    <mergeCell ref="J20:L20"/>
    <mergeCell ref="C35:D35"/>
    <mergeCell ref="F3:G3"/>
    <mergeCell ref="E35:F35"/>
    <mergeCell ref="J22:L22"/>
    <mergeCell ref="A8:C8"/>
    <mergeCell ref="A17:L17"/>
    <mergeCell ref="J12:L12"/>
    <mergeCell ref="G26:L26"/>
    <mergeCell ref="D15:F15"/>
    <mergeCell ref="J21:L21"/>
    <mergeCell ref="G25:I25"/>
    <mergeCell ref="A19:C19"/>
    <mergeCell ref="A10:L10"/>
    <mergeCell ref="E30:F30"/>
    <mergeCell ref="G30:H30"/>
    <mergeCell ref="G11:I11"/>
    <mergeCell ref="D19:F19"/>
    <mergeCell ref="A11:C11"/>
    <mergeCell ref="G27:L27"/>
    <mergeCell ref="A38:L48"/>
    <mergeCell ref="G31:H31"/>
    <mergeCell ref="I31:J31"/>
    <mergeCell ref="A31:B31"/>
  </mergeCells>
  <pageMargins left="0.3" right="0.3" top="0.5" bottom="0.5" header="0.5" footer="0.5"/>
  <pageSetup orientation="portrait" paperSize="9" scale="7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2" sqref="A12:L12"/>
    </sheetView>
  </sheetViews>
  <sheetFormatPr baseColWidth="8" defaultRowHeight="17"/>
  <sheetData>
    <row r="1" ht="21" customHeight="1" s="17">
      <c r="A1" s="14" t="inlineStr">
        <is>
          <t>임대 계약조건 비교 및 정리표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4" t="n"/>
    </row>
    <row r="2" ht="38.5" customHeight="1" s="17">
      <c r="A2" s="13" t="inlineStr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4" t="n"/>
    </row>
    <row r="3">
      <c r="A3" s="15" t="inlineStr">
        <is>
          <t>구분</t>
        </is>
      </c>
      <c r="B3" s="23" t="n"/>
      <c r="C3" s="24" t="n"/>
      <c r="D3" s="15" t="inlineStr">
        <is>
          <t>변경전(종료시점)</t>
        </is>
      </c>
      <c r="E3" s="23" t="n"/>
      <c r="F3" s="24" t="n"/>
      <c r="G3" s="15" t="inlineStr">
        <is>
          <t>갱신(변경시점)</t>
        </is>
      </c>
      <c r="H3" s="23" t="n"/>
      <c r="I3" s="24" t="n"/>
      <c r="J3" s="15" t="inlineStr">
        <is>
          <t>비고</t>
        </is>
      </c>
      <c r="K3" s="23" t="n"/>
      <c r="L3" s="24" t="n"/>
    </row>
    <row r="4">
      <c r="A4" s="9" t="inlineStr">
        <is>
          <t>면적(전용,sf)</t>
        </is>
      </c>
      <c r="B4" s="23" t="n"/>
      <c r="C4" s="24" t="n"/>
      <c r="D4" s="38" t="n">
        <v>1779.16</v>
      </c>
      <c r="E4" s="23" t="n"/>
      <c r="F4" s="24" t="n"/>
      <c r="G4" s="7" t="inlineStr">
        <is>
          <t>좌동</t>
        </is>
      </c>
      <c r="H4" s="23" t="n"/>
      <c r="I4" s="24" t="n"/>
      <c r="J4" s="7" t="n"/>
      <c r="K4" s="23" t="n"/>
      <c r="L4" s="24" t="n"/>
    </row>
    <row r="5">
      <c r="A5" s="9" t="inlineStr">
        <is>
          <t>면적(임대,sf)</t>
        </is>
      </c>
      <c r="B5" s="23" t="n"/>
      <c r="C5" s="24" t="n"/>
      <c r="D5" s="38" t="n">
        <v>3558.32</v>
      </c>
      <c r="E5" s="23" t="n"/>
      <c r="F5" s="24" t="n"/>
      <c r="G5" s="7" t="inlineStr">
        <is>
          <t>좌동</t>
        </is>
      </c>
      <c r="H5" s="23" t="n"/>
      <c r="I5" s="24" t="n"/>
      <c r="J5" s="7" t="n"/>
      <c r="K5" s="23" t="n"/>
      <c r="L5" s="24" t="n"/>
    </row>
    <row r="6">
      <c r="A6" s="9" t="inlineStr">
        <is>
          <t>임차인</t>
        </is>
      </c>
      <c r="B6" s="23" t="n"/>
      <c r="C6" s="24" t="n"/>
      <c r="D6" s="7" t="inlineStr"/>
      <c r="E6" s="23" t="n"/>
      <c r="F6" s="24" t="n"/>
      <c r="G6" s="7" t="inlineStr">
        <is>
          <t>좌동</t>
        </is>
      </c>
      <c r="H6" s="23" t="n"/>
      <c r="I6" s="24" t="n"/>
      <c r="J6" s="7" t="n"/>
      <c r="K6" s="23" t="n"/>
      <c r="L6" s="24" t="n"/>
    </row>
    <row r="7">
      <c r="A7" s="9" t="inlineStr">
        <is>
          <t>보증금</t>
        </is>
      </c>
      <c r="B7" s="23" t="n"/>
      <c r="C7" s="24" t="n"/>
      <c r="D7" s="30" t="n">
        <v>10000000</v>
      </c>
      <c r="E7" s="23" t="n"/>
      <c r="F7" s="24" t="n"/>
      <c r="G7" s="30" t="n">
        <v>11000000</v>
      </c>
      <c r="H7" s="23" t="n"/>
      <c r="I7" s="24" t="n"/>
      <c r="J7" s="7" t="inlineStr"/>
      <c r="K7" s="23" t="n"/>
      <c r="L7" s="24" t="n"/>
    </row>
    <row r="8">
      <c r="A8" s="9" t="inlineStr">
        <is>
          <t>월임대료</t>
        </is>
      </c>
      <c r="B8" s="23" t="n"/>
      <c r="C8" s="24" t="n"/>
      <c r="D8" s="30" t="n">
        <v>1000000</v>
      </c>
      <c r="E8" s="23" t="n"/>
      <c r="F8" s="24" t="n"/>
      <c r="G8" s="30" t="n">
        <v>1100000</v>
      </c>
      <c r="H8" s="23" t="n"/>
      <c r="I8" s="24" t="n"/>
      <c r="J8" s="7" t="inlineStr">
        <is>
          <t>10.0% 인상</t>
        </is>
      </c>
      <c r="K8" s="23" t="n"/>
      <c r="L8" s="24" t="n"/>
    </row>
    <row r="9" ht="80" customHeight="1" s="17">
      <c r="A9" s="9" t="inlineStr">
        <is>
          <t>월관리비</t>
        </is>
      </c>
      <c r="B9" s="23" t="n"/>
      <c r="C9" s="24" t="n"/>
      <c r="D9" s="30" t="n">
        <v>500000</v>
      </c>
      <c r="E9" s="23" t="n"/>
      <c r="F9" s="24" t="n"/>
      <c r="G9" s="30" t="n">
        <v>550000</v>
      </c>
      <c r="H9" s="23" t="n"/>
      <c r="I9" s="24" t="n"/>
      <c r="J9" s="7" t="inlineStr">
        <is>
          <t>10.0% 인상</t>
        </is>
      </c>
      <c r="K9" s="23" t="n"/>
      <c r="L9" s="24" t="n"/>
    </row>
    <row r="10">
      <c r="A10" s="9" t="inlineStr">
        <is>
          <t>임대차기간</t>
        </is>
      </c>
      <c r="B10" s="23" t="n"/>
      <c r="C10" s="24" t="n"/>
      <c r="D10" s="7" t="inlineStr">
        <is>
          <t>2023-01-01 ~ 2024-01-01</t>
        </is>
      </c>
      <c r="E10" s="23" t="n"/>
      <c r="F10" s="24" t="n"/>
      <c r="G10" s="7" t="inlineStr"/>
      <c r="H10" s="23" t="n"/>
      <c r="I10" s="24" t="n"/>
      <c r="J10" s="7" t="inlineStr">
        <is>
          <t>계약갱신</t>
        </is>
      </c>
      <c r="K10" s="23" t="n"/>
      <c r="L10" s="24" t="n"/>
    </row>
    <row r="12">
      <c r="A12" s="15" t="inlineStr">
        <is>
          <t>연간 income &amp; 임대기간 내 총 income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4" t="n"/>
    </row>
    <row r="13">
      <c r="A13" s="15" t="inlineStr">
        <is>
          <t>항목</t>
        </is>
      </c>
      <c r="B13" s="23" t="n"/>
      <c r="C13" s="24" t="n"/>
      <c r="D13" s="15" t="inlineStr">
        <is>
          <t>1년 차</t>
        </is>
      </c>
      <c r="E13" s="23" t="n"/>
      <c r="F13" s="24" t="n"/>
      <c r="G13" s="15" t="inlineStr">
        <is>
          <t>2년 차</t>
        </is>
      </c>
      <c r="H13" s="23" t="n"/>
      <c r="I13" s="24" t="n"/>
      <c r="J13" s="15" t="inlineStr">
        <is>
          <t>3년 차</t>
        </is>
      </c>
      <c r="K13" s="23" t="n"/>
      <c r="L13" s="24" t="n"/>
      <c r="M13" s="15" t="inlineStr">
        <is>
          <t>합계(원)</t>
        </is>
      </c>
    </row>
    <row r="14">
      <c r="A14" s="9" t="inlineStr">
        <is>
          <t>보증금</t>
        </is>
      </c>
      <c r="B14" s="23" t="n"/>
      <c r="C14" s="24" t="n"/>
      <c r="D14" s="19" t="n">
        <v>11000000</v>
      </c>
      <c r="E14" s="23" t="n"/>
      <c r="F14" s="24" t="n"/>
      <c r="G14" s="19" t="n">
        <v>11000000</v>
      </c>
      <c r="H14" s="23" t="n"/>
      <c r="I14" s="24" t="n"/>
      <c r="J14" s="19" t="n">
        <v>11000000</v>
      </c>
      <c r="K14" s="23" t="n"/>
      <c r="L14" s="24" t="n"/>
      <c r="M14" s="19" t="inlineStr"/>
    </row>
    <row r="15">
      <c r="A15" s="9" t="inlineStr">
        <is>
          <t>연간임대료 (A)</t>
        </is>
      </c>
      <c r="B15" s="23" t="n"/>
      <c r="C15" s="24" t="n"/>
      <c r="D15" s="19" t="n">
        <v>13200000</v>
      </c>
      <c r="E15" s="23" t="n"/>
      <c r="F15" s="24" t="n"/>
      <c r="G15" s="19" t="n">
        <v>14400000</v>
      </c>
      <c r="H15" s="23" t="n"/>
      <c r="I15" s="24" t="n"/>
      <c r="J15" s="19" t="n">
        <v>15600000</v>
      </c>
      <c r="K15" s="23" t="n"/>
      <c r="L15" s="24" t="n"/>
      <c r="M15" s="19">
        <f>SUM(D15:J15)</f>
        <v/>
      </c>
    </row>
    <row r="16">
      <c r="A16" s="9" t="inlineStr">
        <is>
          <t>연간관리비 (B)</t>
        </is>
      </c>
      <c r="B16" s="23" t="n"/>
      <c r="C16" s="24" t="n"/>
      <c r="D16" s="19" t="n">
        <v>6600000</v>
      </c>
      <c r="E16" s="23" t="n"/>
      <c r="F16" s="24" t="n"/>
      <c r="G16" s="19" t="n">
        <v>7200000</v>
      </c>
      <c r="H16" s="23" t="n"/>
      <c r="I16" s="24" t="n"/>
      <c r="J16" s="19" t="n">
        <v>7800000</v>
      </c>
      <c r="K16" s="23" t="n"/>
      <c r="L16" s="24" t="n"/>
      <c r="M16" s="19">
        <f>SUM(D16:J16)</f>
        <v/>
      </c>
    </row>
    <row r="17">
      <c r="A17" s="9" t="inlineStr">
        <is>
          <t>보증금 funding cost (C)</t>
        </is>
      </c>
      <c r="B17" s="23" t="n"/>
      <c r="C17" s="24" t="n"/>
      <c r="D17" s="19">
        <f>D14*임대갱신품의서!J20</f>
        <v/>
      </c>
      <c r="E17" s="23" t="n"/>
      <c r="F17" s="24" t="n"/>
      <c r="G17" s="19">
        <f>G14*임대갱신품의서!J20</f>
        <v/>
      </c>
      <c r="H17" s="23" t="n"/>
      <c r="I17" s="24" t="n"/>
      <c r="J17" s="19">
        <f>J14*임대갱신품의서!J20</f>
        <v/>
      </c>
      <c r="K17" s="23" t="n"/>
      <c r="L17" s="24" t="n"/>
      <c r="M17" s="19">
        <f>SUM(D17:J17)</f>
        <v/>
      </c>
    </row>
    <row r="18">
      <c r="A18" s="15" t="inlineStr">
        <is>
          <t>연간 수입 (A+B+C)</t>
        </is>
      </c>
      <c r="B18" s="23" t="n"/>
      <c r="C18" s="24" t="n"/>
      <c r="D18" s="28">
        <f>SUM(D15:D17)</f>
        <v/>
      </c>
      <c r="E18" s="23" t="n"/>
      <c r="F18" s="24" t="n"/>
      <c r="G18" s="28">
        <f>SUM(G15:G17)</f>
        <v/>
      </c>
      <c r="H18" s="23" t="n"/>
      <c r="I18" s="24" t="n"/>
      <c r="J18" s="28">
        <f>SUM(J15:J17)</f>
        <v/>
      </c>
      <c r="K18" s="23" t="n"/>
      <c r="L18" s="24" t="n"/>
      <c r="M18" s="28">
        <f>SUM(D18:J18)</f>
        <v/>
      </c>
    </row>
    <row r="20">
      <c r="C20" s="9" t="inlineStr">
        <is>
          <t>연간 수입(USD)</t>
        </is>
      </c>
      <c r="D20" s="23" t="n"/>
      <c r="E20" s="23" t="n"/>
      <c r="F20" s="24" t="n"/>
      <c r="G20" s="6" t="inlineStr">
        <is>
          <t>98,816</t>
        </is>
      </c>
      <c r="H20" s="23" t="n"/>
      <c r="I20" s="24" t="n"/>
    </row>
    <row r="21">
      <c r="C21" s="9" t="inlineStr">
        <is>
          <t>전체 수입(USD)</t>
        </is>
      </c>
      <c r="D21" s="23" t="n"/>
      <c r="E21" s="23" t="n"/>
      <c r="F21" s="24" t="n"/>
      <c r="G21" s="6" t="inlineStr">
        <is>
          <t>197,632</t>
        </is>
      </c>
      <c r="H21" s="23" t="n"/>
      <c r="I21" s="24" t="n"/>
    </row>
    <row r="23">
      <c r="A23" s="15" t="inlineStr">
        <is>
          <t>RPM Threshold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4" t="n"/>
    </row>
    <row r="24" ht="30.5" customHeight="1" s="17">
      <c r="A24" s="15" t="n"/>
      <c r="B24" s="24" t="n"/>
      <c r="C24" s="15" t="inlineStr">
        <is>
          <t>Annual Income</t>
        </is>
      </c>
      <c r="D24" s="24" t="n"/>
      <c r="E24" s="15" t="inlineStr">
        <is>
          <t>Income during lease term</t>
        </is>
      </c>
      <c r="F24" s="24" t="n"/>
      <c r="G24" s="15" t="inlineStr">
        <is>
          <t>Area</t>
        </is>
      </c>
      <c r="H24" s="24" t="n"/>
      <c r="I24" s="15" t="inlineStr">
        <is>
          <t>New</t>
        </is>
      </c>
      <c r="J24" s="24" t="n"/>
      <c r="K24" s="15" t="inlineStr">
        <is>
          <t>Termination</t>
        </is>
      </c>
      <c r="L24" s="24" t="n"/>
    </row>
    <row r="25">
      <c r="A25" s="9" t="inlineStr">
        <is>
          <t>RPF</t>
        </is>
      </c>
      <c r="B25" s="24" t="n"/>
      <c r="C25" s="7" t="inlineStr">
        <is>
          <t>USD 700K over</t>
        </is>
      </c>
      <c r="D25" s="24" t="n"/>
      <c r="E25" s="7" t="inlineStr">
        <is>
          <t>USD 2.0M over</t>
        </is>
      </c>
      <c r="F25" s="24" t="n"/>
      <c r="G25" s="7" t="inlineStr">
        <is>
          <t>15,000 sqft over</t>
        </is>
      </c>
      <c r="H25" s="24" t="n"/>
      <c r="I25" s="7" t="inlineStr">
        <is>
          <t>All</t>
        </is>
      </c>
      <c r="J25" s="24" t="n"/>
      <c r="K25" s="7" t="inlineStr">
        <is>
          <t>USD 150K over</t>
        </is>
      </c>
      <c r="L25" s="24" t="n"/>
    </row>
    <row r="26">
      <c r="A26" s="9" t="inlineStr">
        <is>
          <t>RPM</t>
        </is>
      </c>
      <c r="B26" s="24" t="n"/>
      <c r="C26" s="7" t="inlineStr">
        <is>
          <t>Under USD 700K</t>
        </is>
      </c>
      <c r="D26" s="24" t="n"/>
      <c r="E26" s="7" t="inlineStr">
        <is>
          <t>Under USD 2.0M</t>
        </is>
      </c>
      <c r="F26" s="24" t="n"/>
      <c r="G26" s="7" t="inlineStr">
        <is>
          <t>Under 15,000 sqft</t>
        </is>
      </c>
      <c r="H26" s="24" t="n"/>
      <c r="I26" s="7" t="inlineStr">
        <is>
          <t>N/A</t>
        </is>
      </c>
      <c r="J26" s="24" t="n"/>
      <c r="K26" s="7" t="inlineStr">
        <is>
          <t>Under USD 150K</t>
        </is>
      </c>
      <c r="L26" s="24" t="n"/>
    </row>
    <row r="27">
      <c r="A27" s="16" t="inlineStr">
        <is>
          <t>※ 해당 재계약은 RPM 승인 대상 건 입니다.</t>
        </is>
      </c>
    </row>
  </sheetData>
  <mergeCells count="83">
    <mergeCell ref="G13:I13"/>
    <mergeCell ref="K24:L24"/>
    <mergeCell ref="I26:J26"/>
    <mergeCell ref="G15:I15"/>
    <mergeCell ref="K26:L26"/>
    <mergeCell ref="I25:J25"/>
    <mergeCell ref="A23:L23"/>
    <mergeCell ref="D9:F9"/>
    <mergeCell ref="J3:L3"/>
    <mergeCell ref="G16:I16"/>
    <mergeCell ref="D14:F14"/>
    <mergeCell ref="G9:I9"/>
    <mergeCell ref="J13:L13"/>
    <mergeCell ref="A6:C6"/>
    <mergeCell ref="J15:L15"/>
    <mergeCell ref="G6:I6"/>
    <mergeCell ref="D17:F17"/>
    <mergeCell ref="A3:C3"/>
    <mergeCell ref="A12:L12"/>
    <mergeCell ref="J7:L7"/>
    <mergeCell ref="J16:L16"/>
    <mergeCell ref="G14:I14"/>
    <mergeCell ref="A5:C5"/>
    <mergeCell ref="A14:C14"/>
    <mergeCell ref="G4:I4"/>
    <mergeCell ref="D3:F3"/>
    <mergeCell ref="A4:C4"/>
    <mergeCell ref="A26:B26"/>
    <mergeCell ref="A13:C13"/>
    <mergeCell ref="D5:F5"/>
    <mergeCell ref="G24:H24"/>
    <mergeCell ref="I24:J24"/>
    <mergeCell ref="A15:C15"/>
    <mergeCell ref="E26:F26"/>
    <mergeCell ref="G26:H26"/>
    <mergeCell ref="J5:L5"/>
    <mergeCell ref="J14:L14"/>
    <mergeCell ref="E25:F25"/>
    <mergeCell ref="G25:H25"/>
    <mergeCell ref="G8:I8"/>
    <mergeCell ref="G17:I17"/>
    <mergeCell ref="A7:C7"/>
    <mergeCell ref="A16:C16"/>
    <mergeCell ref="J6:L6"/>
    <mergeCell ref="K25:L25"/>
    <mergeCell ref="G10:I10"/>
    <mergeCell ref="A18:C18"/>
    <mergeCell ref="G3:I3"/>
    <mergeCell ref="J4:L4"/>
    <mergeCell ref="D7:F7"/>
    <mergeCell ref="D16:F16"/>
    <mergeCell ref="A2:L2"/>
    <mergeCell ref="G5:I5"/>
    <mergeCell ref="D18:F18"/>
    <mergeCell ref="G20:I20"/>
    <mergeCell ref="D8:F8"/>
    <mergeCell ref="J18:L18"/>
    <mergeCell ref="C20:F20"/>
    <mergeCell ref="J8:L8"/>
    <mergeCell ref="J17:L17"/>
    <mergeCell ref="G21:I21"/>
    <mergeCell ref="J10:L10"/>
    <mergeCell ref="C21:F21"/>
    <mergeCell ref="J9:L9"/>
    <mergeCell ref="G7:I7"/>
    <mergeCell ref="D6:F6"/>
    <mergeCell ref="A24:B24"/>
    <mergeCell ref="D13:F13"/>
    <mergeCell ref="C24:D24"/>
    <mergeCell ref="E24:F24"/>
    <mergeCell ref="G18:I18"/>
    <mergeCell ref="A27:L27"/>
    <mergeCell ref="C26:D26"/>
    <mergeCell ref="A25:B25"/>
    <mergeCell ref="C25:D25"/>
    <mergeCell ref="A8:C8"/>
    <mergeCell ref="D4:F4"/>
    <mergeCell ref="A17:C17"/>
    <mergeCell ref="D15:F15"/>
    <mergeCell ref="A10:C10"/>
    <mergeCell ref="A9:C9"/>
    <mergeCell ref="D10:F10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2026-06-24T13:34:25Z</dcterms:created>
  <dcterms:modified xmlns:dcterms="http://purl.org/dc/terms/" xmlns:xsi="http://www.w3.org/2001/XMLSchema-instance" xsi:type="dcterms:W3CDTF">2026-08-01T08:57:11Z</dcterms:modified>
  <cp:lastModifiedBy>태일 최</cp:lastModifiedBy>
  <cp:lastPrinted>2026-06-24T13:39:13Z</cp:lastPrinted>
</cp:coreProperties>
</file>